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COM\DISPATCH\ADMIN\RADIO DETAIL\2026 RADIO SCHEDULE\"/>
    </mc:Choice>
  </mc:AlternateContent>
  <xr:revisionPtr revIDLastSave="0" documentId="13_ncr:1_{A938C78F-33D8-4937-BAE3-3C35A889F746}" xr6:coauthVersionLast="47" xr6:coauthVersionMax="47" xr10:uidLastSave="{00000000-0000-0000-0000-000000000000}"/>
  <bookViews>
    <workbookView xWindow="-28920" yWindow="-120" windowWidth="29040" windowHeight="15840" firstSheet="1" activeTab="1" xr2:uid="{00000000-000D-0000-FFFF-FFFF00000000}"/>
  </bookViews>
  <sheets>
    <sheet name="Chart1" sheetId="9" state="hidden" r:id="rId1"/>
    <sheet name="2026" sheetId="1" r:id="rId2"/>
    <sheet name="MONDAY" sheetId="2" r:id="rId3"/>
    <sheet name="PG 1 (2)" sheetId="20" state="hidden" r:id="rId4"/>
    <sheet name="PG 2 (3)" sheetId="24" state="hidden" r:id="rId5"/>
    <sheet name="PG 3" sheetId="14" state="hidden" r:id="rId6"/>
    <sheet name="TUESDAY" sheetId="3" r:id="rId7"/>
    <sheet name="PG 1" sheetId="15" state="hidden" r:id="rId8"/>
    <sheet name="PG 2 (2)" sheetId="21" state="hidden" r:id="rId9"/>
    <sheet name="PG 3 (2)" sheetId="23" state="hidden" r:id="rId10"/>
    <sheet name="WEDNESDAY" sheetId="4" r:id="rId11"/>
    <sheet name="PG 1 (3)" sheetId="25" state="hidden" r:id="rId12"/>
    <sheet name="PG 2 (4)" sheetId="26" state="hidden" r:id="rId13"/>
    <sheet name="PG 3 (3)" sheetId="27" state="hidden" r:id="rId14"/>
    <sheet name="THURSDAY" sheetId="5" r:id="rId15"/>
    <sheet name="PG 1 (4)" sheetId="28" state="hidden" r:id="rId16"/>
    <sheet name="PG 2 (7)" sheetId="37" state="hidden" r:id="rId17"/>
    <sheet name="PG 3 (7)" sheetId="38" state="hidden" r:id="rId18"/>
    <sheet name="FRIDAY" sheetId="6" r:id="rId19"/>
    <sheet name="PG 1 (5)" sheetId="31" state="hidden" r:id="rId20"/>
    <sheet name="PG 2 (6)" sheetId="32" state="hidden" r:id="rId21"/>
    <sheet name="PG 3 (4)" sheetId="30" state="hidden" r:id="rId22"/>
    <sheet name="SATURDAY" sheetId="7" r:id="rId23"/>
    <sheet name="PG 1 (6)" sheetId="34" state="hidden" r:id="rId24"/>
    <sheet name="PG 2 (5)" sheetId="29" state="hidden" r:id="rId25"/>
    <sheet name="PG 3 (5)" sheetId="33" state="hidden" r:id="rId26"/>
    <sheet name="SUNDAY" sheetId="8" r:id="rId27"/>
    <sheet name="PG 1 (7)" sheetId="35" state="hidden" r:id="rId28"/>
    <sheet name="PG 2" sheetId="13" state="hidden" r:id="rId29"/>
    <sheet name="PG 3 (6)" sheetId="36" state="hidden" r:id="rId30"/>
    <sheet name="ESDS" sheetId="11" r:id="rId31"/>
    <sheet name="Sheet1" sheetId="39" r:id="rId32"/>
    <sheet name="Sheet2" sheetId="40" r:id="rId33"/>
  </sheets>
  <definedNames>
    <definedName name="_TT0215">#REF!</definedName>
    <definedName name="_TT2215">#REF!</definedName>
    <definedName name="a_shift">OFFSET(ESDS!$A$4,0,0,COUNTA(ESDS!$A:$A),1)</definedName>
    <definedName name="A_SHIFT_ESDS">Table1[A SHIFT]</definedName>
    <definedName name="b_shift">OFFSET(ESDS!$B$4,0,0,COUNTA(ESDS!$B:$B),1)</definedName>
    <definedName name="B_SHIFT_ESDS">Table1[B SHIFT]</definedName>
    <definedName name="Backup0015">#REF!</definedName>
    <definedName name="Backup0215">#REF!</definedName>
    <definedName name="Backup0415">#REF!</definedName>
    <definedName name="Backup0615">#REF!</definedName>
    <definedName name="Backup0815">#REF!</definedName>
    <definedName name="Backup1015">#REF!</definedName>
    <definedName name="Backup1215">#REF!</definedName>
    <definedName name="Backup1415">#REF!</definedName>
    <definedName name="Backup1615">#REF!</definedName>
    <definedName name="Backup1815">#REF!</definedName>
    <definedName name="Backup2015">#REF!</definedName>
    <definedName name="Backup2215">#REF!</definedName>
    <definedName name="c_shift">OFFSET(ESDS!#REF!,0,0,COUNTA(ESDS!$C:$C),1)</definedName>
    <definedName name="C_SHIFT_ESDS">Table1[C SHIFT]</definedName>
    <definedName name="Call0015">#REF!</definedName>
    <definedName name="Call0215">#REF!</definedName>
    <definedName name="Call0415">#REF!</definedName>
    <definedName name="Call0615">#REF!</definedName>
    <definedName name="Call0815">#REF!</definedName>
    <definedName name="Call1015">#REF!</definedName>
    <definedName name="Call1215">#REF!</definedName>
    <definedName name="Call1415">#REF!</definedName>
    <definedName name="Call1615">#REF!</definedName>
    <definedName name="Call1815">#REF!</definedName>
    <definedName name="Call2015">#REF!</definedName>
    <definedName name="Call2215">#REF!</definedName>
    <definedName name="d_shift">OFFSET(ESDS!#REF!,0,0,COUNTA(ESDS!$D:$D),1)</definedName>
    <definedName name="D_SHIFT_ESDS">Table1[D SHIFT]</definedName>
    <definedName name="e_shift">OFFSET([0]!E_SHIFT_ESDS,0,0,COUNTA(ESDS!$E:$E),1)</definedName>
    <definedName name="E_SHIFT_ESDS">Table1[E SHIFT]</definedName>
    <definedName name="EE_SHIFTS" localSheetId="7">Table1[#All]</definedName>
    <definedName name="EE_SHIFTS" localSheetId="3">Table1[#All]</definedName>
    <definedName name="EE_SHIFTS" localSheetId="11">Table1[#All]</definedName>
    <definedName name="EE_SHIFTS" localSheetId="15">Table1[#All]</definedName>
    <definedName name="EE_SHIFTS" localSheetId="19">Table1[#All]</definedName>
    <definedName name="EE_SHIFTS" localSheetId="23">Table1[#All]</definedName>
    <definedName name="EE_SHIFTS" localSheetId="27">Table1[#All]</definedName>
    <definedName name="EE_SHIFTS" localSheetId="8">Table1[#All]</definedName>
    <definedName name="EE_SHIFTS" localSheetId="4">Table1[#All]</definedName>
    <definedName name="EE_SHIFTS" localSheetId="12">Table1[#All]</definedName>
    <definedName name="EE_SHIFTS" localSheetId="24">Table1[#All]</definedName>
    <definedName name="EE_SHIFTS" localSheetId="20">Table1[#All]</definedName>
    <definedName name="EE_SHIFTS" localSheetId="16">Table1[#All]</definedName>
    <definedName name="EE_SHIFTS" localSheetId="9">Table1[#All]</definedName>
    <definedName name="EE_SHIFTS" localSheetId="13">Table1[#All]</definedName>
    <definedName name="EE_SHIFTS" localSheetId="21">Table1[#All]</definedName>
    <definedName name="EE_SHIFTS" localSheetId="25">Table1[#All]</definedName>
    <definedName name="EE_SHIFTS" localSheetId="29">Table1[#All]</definedName>
    <definedName name="EE_SHIFTS" localSheetId="17">Table1[#All]</definedName>
    <definedName name="EE_SHIFTS">Table1[#All]</definedName>
    <definedName name="f_shift">OFFSET(ESDS!$F$4,0,0,COUNTA(ESDS!$F:$F),1)</definedName>
    <definedName name="F_SHIFT_ESDS">Table1[F SHIFT]</definedName>
    <definedName name="Monday">'2026'!$A$5:$H$17</definedName>
    <definedName name="Motor0015">#REF!</definedName>
    <definedName name="Motor0815">#REF!</definedName>
    <definedName name="Motor1015">#REF!</definedName>
    <definedName name="Motor1215">#REF!</definedName>
    <definedName name="Motor1415">#REF!</definedName>
    <definedName name="Motor1615">#REF!</definedName>
    <definedName name="Motor1815">#REF!</definedName>
    <definedName name="Motor2015">#REF!</definedName>
    <definedName name="Motor2215">#REF!</definedName>
    <definedName name="Motor700">#REF!</definedName>
    <definedName name="Northeast0015">#REF!</definedName>
    <definedName name="Northeast0215">#REF!</definedName>
    <definedName name="Northeast0415">#REF!</definedName>
    <definedName name="Northeast0615">#REF!</definedName>
    <definedName name="Northeast0815">#REF!</definedName>
    <definedName name="Northeast1015">#REF!</definedName>
    <definedName name="Northeast1215">#REF!</definedName>
    <definedName name="Northeast1415">#REF!</definedName>
    <definedName name="Northeast1615">#REF!</definedName>
    <definedName name="Northeast1815">#REF!</definedName>
    <definedName name="Northeast2015">#REF!</definedName>
    <definedName name="Northeast2215">#REF!</definedName>
    <definedName name="Northwest0015">#REF!</definedName>
    <definedName name="Northwest1215">#REF!</definedName>
    <definedName name="Northwest1415">#REF!</definedName>
    <definedName name="Northwest1615">#REF!</definedName>
    <definedName name="Northwest1815">#REF!</definedName>
    <definedName name="Northwest2015">#REF!</definedName>
    <definedName name="Northwest2215">#REF!</definedName>
    <definedName name="OLE_LINK1" localSheetId="7">'PG 1'!$A$1</definedName>
    <definedName name="OLE_LINK1" localSheetId="3">'PG 1 (2)'!$A$1</definedName>
    <definedName name="OLE_LINK1" localSheetId="11">'PG 1 (3)'!$A$1</definedName>
    <definedName name="OLE_LINK1" localSheetId="15">'PG 1 (4)'!$A$1</definedName>
    <definedName name="OLE_LINK1" localSheetId="19">'PG 1 (5)'!$A$1</definedName>
    <definedName name="OLE_LINK1" localSheetId="23">'PG 1 (6)'!$A$1</definedName>
    <definedName name="OLE_LINK1" localSheetId="27">'PG 1 (7)'!$A$1</definedName>
    <definedName name="Southeast0015">#REF!</definedName>
    <definedName name="Southeast1015">#REF!</definedName>
    <definedName name="Southeast1215">#REF!</definedName>
    <definedName name="Southeast1415">#REF!</definedName>
    <definedName name="Southeast1615">#REF!</definedName>
    <definedName name="Southeast1815">#REF!</definedName>
    <definedName name="Southeast2015">#REF!</definedName>
    <definedName name="Southeast2215">#REF!</definedName>
    <definedName name="Southeast615">#REF!</definedName>
    <definedName name="Southeast815">#REF!</definedName>
    <definedName name="Southwest015">#REF!</definedName>
    <definedName name="Southwest1015">#REF!</definedName>
    <definedName name="Southwest1215">#REF!</definedName>
    <definedName name="Southwest1415">#REF!</definedName>
    <definedName name="Southwest1615">#REF!</definedName>
    <definedName name="Southwest1815">#REF!</definedName>
    <definedName name="Southwest2015">#REF!</definedName>
    <definedName name="Southwest215">#REF!</definedName>
    <definedName name="Southwest2215">#REF!</definedName>
    <definedName name="Southwest415">#REF!</definedName>
    <definedName name="Southwest615">#REF!</definedName>
    <definedName name="Southwest815">#REF!</definedName>
    <definedName name="TRAINEES_ESDS">Table1[TRAINEES]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3" i="8" l="1" a="1"/>
  <c r="C53" i="8" s="1"/>
  <c r="C52" i="8" a="1"/>
  <c r="C52" i="8" s="1"/>
  <c r="B52" i="8" a="1"/>
  <c r="B52" i="8" s="1"/>
  <c r="C51" i="8" a="1"/>
  <c r="C51" i="8" s="1"/>
  <c r="B51" i="8" a="1"/>
  <c r="B51" i="8" s="1"/>
  <c r="C50" i="8" a="1"/>
  <c r="C50" i="8" s="1"/>
  <c r="B50" i="8" a="1"/>
  <c r="B50" i="8" s="1"/>
  <c r="A50" i="8" a="1"/>
  <c r="A50" i="8" s="1"/>
  <c r="C49" i="8" a="1"/>
  <c r="C49" i="8" s="1"/>
  <c r="B49" i="8" a="1"/>
  <c r="B49" i="8" s="1"/>
  <c r="A49" i="8" a="1"/>
  <c r="A49" i="8" s="1"/>
  <c r="C48" i="8" a="1"/>
  <c r="C48" i="8" s="1"/>
  <c r="B48" i="8" a="1"/>
  <c r="B48" i="8" s="1"/>
  <c r="A48" i="8" a="1"/>
  <c r="A48" i="8" s="1"/>
  <c r="C47" i="8" a="1"/>
  <c r="C47" i="8" s="1"/>
  <c r="B47" i="8" a="1"/>
  <c r="B47" i="8" s="1"/>
  <c r="A47" i="8" a="1"/>
  <c r="A47" i="8" s="1"/>
  <c r="D46" i="8" a="1"/>
  <c r="D46" i="8" s="1"/>
  <c r="C46" i="8" a="1"/>
  <c r="C46" i="8" s="1"/>
  <c r="B46" i="8" a="1"/>
  <c r="B46" i="8" s="1"/>
  <c r="A46" i="8" a="1"/>
  <c r="A46" i="8" s="1"/>
  <c r="D45" i="8" a="1"/>
  <c r="D45" i="8" s="1"/>
  <c r="C45" i="8" a="1"/>
  <c r="C45" i="8" s="1"/>
  <c r="B45" i="8" a="1"/>
  <c r="B45" i="8" s="1"/>
  <c r="D44" i="8" a="1"/>
  <c r="D44" i="8" s="1"/>
  <c r="C44" i="8" a="1"/>
  <c r="C44" i="8" s="1"/>
  <c r="B44" i="8" a="1"/>
  <c r="B44" i="8" s="1"/>
  <c r="D43" i="8" a="1"/>
  <c r="D43" i="8" s="1"/>
  <c r="C43" i="8" a="1"/>
  <c r="C43" i="8" s="1"/>
  <c r="B43" i="8" a="1"/>
  <c r="B43" i="8" s="1"/>
  <c r="D42" i="8" a="1"/>
  <c r="D42" i="8" s="1"/>
  <c r="C42" i="8" a="1"/>
  <c r="C42" i="8" s="1"/>
  <c r="B42" i="8" a="1"/>
  <c r="B42" i="8" s="1"/>
  <c r="D41" i="8" a="1"/>
  <c r="D41" i="8" s="1"/>
  <c r="C41" i="8" a="1"/>
  <c r="C41" i="8" s="1"/>
  <c r="B41" i="8" a="1"/>
  <c r="B41" i="8" s="1"/>
  <c r="D40" i="8" a="1"/>
  <c r="D40" i="8" s="1"/>
  <c r="C40" i="8" a="1"/>
  <c r="C40" i="8" s="1"/>
  <c r="B40" i="8" a="1"/>
  <c r="B40" i="8" s="1"/>
  <c r="D39" i="8" a="1"/>
  <c r="D39" i="8" s="1"/>
  <c r="C39" i="8" a="1"/>
  <c r="C39" i="8" s="1"/>
  <c r="B39" i="8" a="1"/>
  <c r="B39" i="8" s="1"/>
  <c r="E38" i="8" a="1"/>
  <c r="E38" i="8" s="1"/>
  <c r="D38" i="8" a="1"/>
  <c r="D38" i="8" s="1"/>
  <c r="C38" i="8" a="1"/>
  <c r="C38" i="8" s="1"/>
  <c r="B38" i="8" a="1"/>
  <c r="B38" i="8" s="1"/>
  <c r="E37" i="8" a="1"/>
  <c r="E37" i="8" s="1"/>
  <c r="D37" i="8" a="1"/>
  <c r="D37" i="8" s="1"/>
  <c r="C37" i="8" a="1"/>
  <c r="C37" i="8" s="1"/>
  <c r="B37" i="8" a="1"/>
  <c r="B37" i="8" s="1"/>
  <c r="E36" i="8" a="1"/>
  <c r="E36" i="8" s="1"/>
  <c r="D36" i="8" a="1"/>
  <c r="D36" i="8" s="1"/>
  <c r="B36" i="8" a="1"/>
  <c r="B36" i="8" s="1"/>
  <c r="E35" i="8" a="1"/>
  <c r="E35" i="8" s="1"/>
  <c r="D35" i="8" a="1"/>
  <c r="D35" i="8" s="1"/>
  <c r="B35" i="8" a="1"/>
  <c r="B35" i="8" s="1"/>
  <c r="A35" i="8" a="1"/>
  <c r="A35" i="8" s="1"/>
  <c r="E34" i="8" a="1"/>
  <c r="E34" i="8" s="1"/>
  <c r="D34" i="8" a="1"/>
  <c r="D34" i="8" s="1"/>
  <c r="B34" i="8" a="1"/>
  <c r="B34" i="8" s="1"/>
  <c r="A34" i="8" a="1"/>
  <c r="A34" i="8" s="1"/>
  <c r="E33" i="8" a="1"/>
  <c r="E33" i="8" s="1"/>
  <c r="D33" i="8" a="1"/>
  <c r="D33" i="8" s="1"/>
  <c r="B33" i="8" a="1"/>
  <c r="B33" i="8" s="1"/>
  <c r="A33" i="8" a="1"/>
  <c r="A33" i="8" s="1"/>
  <c r="E32" i="8" a="1"/>
  <c r="E32" i="8" s="1"/>
  <c r="D32" i="8" a="1"/>
  <c r="D32" i="8" s="1"/>
  <c r="B32" i="8" a="1"/>
  <c r="B32" i="8" s="1"/>
  <c r="A32" i="8" a="1"/>
  <c r="A32" i="8" s="1"/>
  <c r="E31" i="8" a="1"/>
  <c r="E31" i="8" s="1"/>
  <c r="D31" i="8" a="1"/>
  <c r="D31" i="8" s="1"/>
  <c r="B31" i="8" a="1"/>
  <c r="B31" i="8" s="1"/>
  <c r="A31" i="8" a="1"/>
  <c r="A31" i="8" s="1"/>
  <c r="E30" i="8" a="1"/>
  <c r="E30" i="8" s="1"/>
  <c r="D30" i="8" a="1"/>
  <c r="D30" i="8" s="1"/>
  <c r="B30" i="8" a="1"/>
  <c r="B30" i="8" s="1"/>
  <c r="A30" i="8" a="1"/>
  <c r="A30" i="8" s="1"/>
  <c r="E29" i="8" a="1"/>
  <c r="E29" i="8" s="1"/>
  <c r="D29" i="8" a="1"/>
  <c r="D29" i="8" s="1"/>
  <c r="C29" i="8" a="1"/>
  <c r="C29" i="8" s="1"/>
  <c r="B29" i="8" a="1"/>
  <c r="B29" i="8" s="1"/>
  <c r="A29" i="8" a="1"/>
  <c r="A29" i="8" s="1"/>
  <c r="E28" i="8" a="1"/>
  <c r="E28" i="8" s="1"/>
  <c r="D28" i="8" a="1"/>
  <c r="D28" i="8" s="1"/>
  <c r="C28" i="8" a="1"/>
  <c r="C28" i="8" s="1"/>
  <c r="B28" i="8" a="1"/>
  <c r="B28" i="8" s="1"/>
  <c r="A28" i="8" a="1"/>
  <c r="A28" i="8" s="1"/>
  <c r="E27" i="8" a="1"/>
  <c r="E27" i="8" s="1"/>
  <c r="D27" i="8" a="1"/>
  <c r="D27" i="8" s="1"/>
  <c r="C27" i="8" a="1"/>
  <c r="C27" i="8" s="1"/>
  <c r="B27" i="8" a="1"/>
  <c r="B27" i="8" s="1"/>
  <c r="A27" i="8" a="1"/>
  <c r="A27" i="8" s="1"/>
  <c r="E26" i="8" a="1"/>
  <c r="E26" i="8" s="1"/>
  <c r="D26" i="8" a="1"/>
  <c r="D26" i="8" s="1"/>
  <c r="C26" i="8" a="1"/>
  <c r="C26" i="8" s="1"/>
  <c r="B26" i="8" a="1"/>
  <c r="B26" i="8" s="1"/>
  <c r="A26" i="8" a="1"/>
  <c r="A26" i="8" s="1"/>
  <c r="E25" i="8" a="1"/>
  <c r="E25" i="8" s="1"/>
  <c r="D25" i="8" a="1"/>
  <c r="D25" i="8" s="1"/>
  <c r="C25" i="8" a="1"/>
  <c r="C25" i="8" s="1"/>
  <c r="B25" i="8" a="1"/>
  <c r="B25" i="8" s="1"/>
  <c r="A25" i="8" a="1"/>
  <c r="A25" i="8" s="1"/>
  <c r="E24" i="8" a="1"/>
  <c r="E24" i="8" s="1"/>
  <c r="D24" i="8" a="1"/>
  <c r="D24" i="8" s="1"/>
  <c r="C24" i="8" a="1"/>
  <c r="C24" i="8" s="1"/>
  <c r="B24" i="8" a="1"/>
  <c r="B24" i="8" s="1"/>
  <c r="A24" i="8" a="1"/>
  <c r="A24" i="8" s="1"/>
  <c r="E23" i="8" a="1"/>
  <c r="E23" i="8" s="1"/>
  <c r="D23" i="8" a="1"/>
  <c r="D23" i="8" s="1"/>
  <c r="C23" i="8" a="1"/>
  <c r="C23" i="8" s="1"/>
  <c r="B23" i="8" a="1"/>
  <c r="B23" i="8" s="1"/>
  <c r="A23" i="8" a="1"/>
  <c r="A23" i="8" s="1"/>
  <c r="E22" i="8" a="1"/>
  <c r="E22" i="8" s="1"/>
  <c r="D22" i="8" a="1"/>
  <c r="D22" i="8" s="1"/>
  <c r="C22" i="8" a="1"/>
  <c r="C22" i="8" s="1"/>
  <c r="B22" i="8" a="1"/>
  <c r="B22" i="8" s="1"/>
  <c r="A22" i="8" a="1"/>
  <c r="A22" i="8" s="1"/>
  <c r="E21" i="8" a="1"/>
  <c r="E21" i="8" s="1"/>
  <c r="D21" i="8" a="1"/>
  <c r="D21" i="8" s="1"/>
  <c r="C21" i="8" a="1"/>
  <c r="C21" i="8" s="1"/>
  <c r="B21" i="8" a="1"/>
  <c r="B21" i="8" s="1"/>
  <c r="A21" i="8" a="1"/>
  <c r="A21" i="8" s="1"/>
  <c r="E20" i="8" a="1"/>
  <c r="E20" i="8" s="1"/>
  <c r="D20" i="8" a="1"/>
  <c r="D20" i="8" s="1"/>
  <c r="C20" i="8" a="1"/>
  <c r="C20" i="8" s="1"/>
  <c r="B20" i="8" a="1"/>
  <c r="B20" i="8" s="1"/>
  <c r="A20" i="8" a="1"/>
  <c r="A20" i="8" s="1"/>
  <c r="E19" i="8" a="1"/>
  <c r="E19" i="8" s="1"/>
  <c r="D19" i="8" a="1"/>
  <c r="D19" i="8" s="1"/>
  <c r="C19" i="8" a="1"/>
  <c r="C19" i="8" s="1"/>
  <c r="B19" i="8" a="1"/>
  <c r="B19" i="8" s="1"/>
  <c r="A19" i="8" a="1"/>
  <c r="A19" i="8" s="1"/>
  <c r="E18" i="8" a="1"/>
  <c r="E18" i="8" s="1"/>
  <c r="D18" i="8" a="1"/>
  <c r="D18" i="8" s="1"/>
  <c r="C18" i="8" a="1"/>
  <c r="C18" i="8" s="1"/>
  <c r="B18" i="8" a="1"/>
  <c r="B18" i="8" s="1"/>
  <c r="A18" i="8" a="1"/>
  <c r="A18" i="8" s="1"/>
  <c r="E17" i="8" a="1"/>
  <c r="E17" i="8" s="1"/>
  <c r="D17" i="8" a="1"/>
  <c r="D17" i="8" s="1"/>
  <c r="C17" i="8" a="1"/>
  <c r="C17" i="8" s="1"/>
  <c r="B17" i="8" a="1"/>
  <c r="B17" i="8" s="1"/>
  <c r="A17" i="8" a="1"/>
  <c r="A17" i="8" s="1"/>
  <c r="E16" i="8" a="1"/>
  <c r="E16" i="8" s="1"/>
  <c r="D16" i="8" a="1"/>
  <c r="D16" i="8" s="1"/>
  <c r="C16" i="8" a="1"/>
  <c r="C16" i="8" s="1"/>
  <c r="B16" i="8" a="1"/>
  <c r="B16" i="8" s="1"/>
  <c r="A16" i="8" a="1"/>
  <c r="A16" i="8" s="1"/>
  <c r="E15" i="8" a="1"/>
  <c r="E15" i="8" s="1"/>
  <c r="D15" i="8" a="1"/>
  <c r="D15" i="8" s="1"/>
  <c r="C15" i="8" a="1"/>
  <c r="C15" i="8" s="1"/>
  <c r="B15" i="8" a="1"/>
  <c r="B15" i="8" s="1"/>
  <c r="A15" i="8" a="1"/>
  <c r="A15" i="8" s="1"/>
  <c r="C53" i="7" a="1"/>
  <c r="C53" i="7" s="1"/>
  <c r="C52" i="7" a="1"/>
  <c r="C52" i="7" s="1"/>
  <c r="B52" i="7" a="1"/>
  <c r="B52" i="7" s="1"/>
  <c r="C51" i="7" a="1"/>
  <c r="C51" i="7" s="1"/>
  <c r="B51" i="7" a="1"/>
  <c r="B51" i="7" s="1"/>
  <c r="C50" i="7" a="1"/>
  <c r="C50" i="7" s="1"/>
  <c r="B50" i="7" a="1"/>
  <c r="B50" i="7" s="1"/>
  <c r="A50" i="7" a="1"/>
  <c r="A50" i="7" s="1"/>
  <c r="C49" i="7" a="1"/>
  <c r="C49" i="7" s="1"/>
  <c r="B49" i="7" a="1"/>
  <c r="B49" i="7" s="1"/>
  <c r="A49" i="7" a="1"/>
  <c r="A49" i="7" s="1"/>
  <c r="C48" i="7" a="1"/>
  <c r="C48" i="7" s="1"/>
  <c r="B48" i="7" a="1"/>
  <c r="B48" i="7" s="1"/>
  <c r="A48" i="7" a="1"/>
  <c r="A48" i="7" s="1"/>
  <c r="C47" i="7" a="1"/>
  <c r="C47" i="7" s="1"/>
  <c r="B47" i="7" a="1"/>
  <c r="B47" i="7" s="1"/>
  <c r="A47" i="7" a="1"/>
  <c r="A47" i="7" s="1"/>
  <c r="D46" i="7" a="1"/>
  <c r="D46" i="7" s="1"/>
  <c r="C46" i="7" a="1"/>
  <c r="C46" i="7" s="1"/>
  <c r="B46" i="7" a="1"/>
  <c r="B46" i="7" s="1"/>
  <c r="A46" i="7" a="1"/>
  <c r="A46" i="7" s="1"/>
  <c r="D45" i="7" a="1"/>
  <c r="D45" i="7" s="1"/>
  <c r="C45" i="7" a="1"/>
  <c r="C45" i="7" s="1"/>
  <c r="B45" i="7" a="1"/>
  <c r="B45" i="7" s="1"/>
  <c r="D44" i="7" a="1"/>
  <c r="D44" i="7" s="1"/>
  <c r="C44" i="7" a="1"/>
  <c r="C44" i="7" s="1"/>
  <c r="B44" i="7" a="1"/>
  <c r="B44" i="7" s="1"/>
  <c r="D43" i="7" a="1"/>
  <c r="D43" i="7" s="1"/>
  <c r="C43" i="7" a="1"/>
  <c r="C43" i="7" s="1"/>
  <c r="B43" i="7" a="1"/>
  <c r="B43" i="7" s="1"/>
  <c r="D42" i="7" a="1"/>
  <c r="D42" i="7" s="1"/>
  <c r="C42" i="7" a="1"/>
  <c r="C42" i="7" s="1"/>
  <c r="B42" i="7" a="1"/>
  <c r="B42" i="7" s="1"/>
  <c r="D41" i="7" a="1"/>
  <c r="D41" i="7" s="1"/>
  <c r="C41" i="7" a="1"/>
  <c r="C41" i="7" s="1"/>
  <c r="B41" i="7" a="1"/>
  <c r="B41" i="7" s="1"/>
  <c r="D40" i="7" a="1"/>
  <c r="D40" i="7" s="1"/>
  <c r="C40" i="7" a="1"/>
  <c r="C40" i="7" s="1"/>
  <c r="B40" i="7" a="1"/>
  <c r="B40" i="7" s="1"/>
  <c r="D39" i="7" a="1"/>
  <c r="D39" i="7" s="1"/>
  <c r="C39" i="7" a="1"/>
  <c r="C39" i="7" s="1"/>
  <c r="B39" i="7" a="1"/>
  <c r="B39" i="7" s="1"/>
  <c r="E38" i="7" a="1"/>
  <c r="E38" i="7" s="1"/>
  <c r="D38" i="7" a="1"/>
  <c r="D38" i="7" s="1"/>
  <c r="C38" i="7" a="1"/>
  <c r="C38" i="7" s="1"/>
  <c r="B38" i="7" a="1"/>
  <c r="B38" i="7" s="1"/>
  <c r="E37" i="7" a="1"/>
  <c r="E37" i="7" s="1"/>
  <c r="D37" i="7" a="1"/>
  <c r="D37" i="7" s="1"/>
  <c r="C37" i="7" a="1"/>
  <c r="C37" i="7" s="1"/>
  <c r="B37" i="7" a="1"/>
  <c r="B37" i="7" s="1"/>
  <c r="E36" i="7" a="1"/>
  <c r="E36" i="7" s="1"/>
  <c r="D36" i="7" a="1"/>
  <c r="D36" i="7" s="1"/>
  <c r="B36" i="7" a="1"/>
  <c r="B36" i="7" s="1"/>
  <c r="E35" i="7" a="1"/>
  <c r="E35" i="7" s="1"/>
  <c r="D35" i="7" a="1"/>
  <c r="D35" i="7" s="1"/>
  <c r="B35" i="7" a="1"/>
  <c r="B35" i="7" s="1"/>
  <c r="A35" i="7" a="1"/>
  <c r="A35" i="7" s="1"/>
  <c r="E34" i="7" a="1"/>
  <c r="E34" i="7" s="1"/>
  <c r="D34" i="7" a="1"/>
  <c r="D34" i="7" s="1"/>
  <c r="B34" i="7" a="1"/>
  <c r="B34" i="7" s="1"/>
  <c r="A34" i="7" a="1"/>
  <c r="A34" i="7" s="1"/>
  <c r="E33" i="7" a="1"/>
  <c r="E33" i="7" s="1"/>
  <c r="D33" i="7" a="1"/>
  <c r="D33" i="7" s="1"/>
  <c r="B33" i="7" a="1"/>
  <c r="B33" i="7" s="1"/>
  <c r="A33" i="7" a="1"/>
  <c r="A33" i="7" s="1"/>
  <c r="E32" i="7" a="1"/>
  <c r="E32" i="7" s="1"/>
  <c r="D32" i="7" a="1"/>
  <c r="D32" i="7" s="1"/>
  <c r="B32" i="7" a="1"/>
  <c r="B32" i="7" s="1"/>
  <c r="A32" i="7" a="1"/>
  <c r="A32" i="7" s="1"/>
  <c r="E31" i="7" a="1"/>
  <c r="E31" i="7" s="1"/>
  <c r="D31" i="7" a="1"/>
  <c r="D31" i="7" s="1"/>
  <c r="B31" i="7" a="1"/>
  <c r="B31" i="7" s="1"/>
  <c r="A31" i="7" a="1"/>
  <c r="A31" i="7" s="1"/>
  <c r="E30" i="7" a="1"/>
  <c r="E30" i="7" s="1"/>
  <c r="D30" i="7" a="1"/>
  <c r="D30" i="7" s="1"/>
  <c r="B30" i="7" a="1"/>
  <c r="B30" i="7" s="1"/>
  <c r="A30" i="7" a="1"/>
  <c r="A30" i="7" s="1"/>
  <c r="E29" i="7" a="1"/>
  <c r="E29" i="7" s="1"/>
  <c r="D29" i="7" a="1"/>
  <c r="D29" i="7" s="1"/>
  <c r="C29" i="7" a="1"/>
  <c r="C29" i="7" s="1"/>
  <c r="B29" i="7" a="1"/>
  <c r="B29" i="7" s="1"/>
  <c r="A29" i="7" a="1"/>
  <c r="A29" i="7" s="1"/>
  <c r="E28" i="7" a="1"/>
  <c r="E28" i="7" s="1"/>
  <c r="D28" i="7" a="1"/>
  <c r="D28" i="7" s="1"/>
  <c r="C28" i="7" a="1"/>
  <c r="C28" i="7" s="1"/>
  <c r="B28" i="7" a="1"/>
  <c r="B28" i="7" s="1"/>
  <c r="A28" i="7" a="1"/>
  <c r="A28" i="7" s="1"/>
  <c r="E27" i="7" a="1"/>
  <c r="E27" i="7" s="1"/>
  <c r="D27" i="7" a="1"/>
  <c r="D27" i="7" s="1"/>
  <c r="C27" i="7" a="1"/>
  <c r="C27" i="7" s="1"/>
  <c r="B27" i="7" a="1"/>
  <c r="B27" i="7" s="1"/>
  <c r="A27" i="7" a="1"/>
  <c r="A27" i="7" s="1"/>
  <c r="E26" i="7" a="1"/>
  <c r="E26" i="7" s="1"/>
  <c r="D26" i="7" a="1"/>
  <c r="D26" i="7" s="1"/>
  <c r="C26" i="7" a="1"/>
  <c r="C26" i="7" s="1"/>
  <c r="B26" i="7" a="1"/>
  <c r="B26" i="7" s="1"/>
  <c r="A26" i="7" a="1"/>
  <c r="A26" i="7" s="1"/>
  <c r="E25" i="7" a="1"/>
  <c r="E25" i="7" s="1"/>
  <c r="D25" i="7" a="1"/>
  <c r="D25" i="7" s="1"/>
  <c r="C25" i="7" a="1"/>
  <c r="C25" i="7" s="1"/>
  <c r="B25" i="7" a="1"/>
  <c r="B25" i="7" s="1"/>
  <c r="A25" i="7" a="1"/>
  <c r="A25" i="7" s="1"/>
  <c r="E24" i="7" a="1"/>
  <c r="E24" i="7" s="1"/>
  <c r="D24" i="7" a="1"/>
  <c r="D24" i="7" s="1"/>
  <c r="C24" i="7" a="1"/>
  <c r="C24" i="7" s="1"/>
  <c r="B24" i="7" a="1"/>
  <c r="B24" i="7" s="1"/>
  <c r="A24" i="7" a="1"/>
  <c r="A24" i="7" s="1"/>
  <c r="E23" i="7" a="1"/>
  <c r="E23" i="7" s="1"/>
  <c r="D23" i="7" a="1"/>
  <c r="D23" i="7" s="1"/>
  <c r="C23" i="7" a="1"/>
  <c r="C23" i="7" s="1"/>
  <c r="B23" i="7" a="1"/>
  <c r="B23" i="7" s="1"/>
  <c r="A23" i="7" a="1"/>
  <c r="A23" i="7" s="1"/>
  <c r="E22" i="7" a="1"/>
  <c r="E22" i="7" s="1"/>
  <c r="D22" i="7" a="1"/>
  <c r="D22" i="7" s="1"/>
  <c r="C22" i="7" a="1"/>
  <c r="C22" i="7" s="1"/>
  <c r="B22" i="7" a="1"/>
  <c r="B22" i="7" s="1"/>
  <c r="A22" i="7" a="1"/>
  <c r="A22" i="7" s="1"/>
  <c r="E21" i="7" a="1"/>
  <c r="E21" i="7" s="1"/>
  <c r="D21" i="7" a="1"/>
  <c r="D21" i="7" s="1"/>
  <c r="C21" i="7" a="1"/>
  <c r="C21" i="7" s="1"/>
  <c r="B21" i="7" a="1"/>
  <c r="B21" i="7" s="1"/>
  <c r="A21" i="7" a="1"/>
  <c r="A21" i="7" s="1"/>
  <c r="E20" i="7" a="1"/>
  <c r="E20" i="7" s="1"/>
  <c r="D20" i="7" a="1"/>
  <c r="D20" i="7" s="1"/>
  <c r="C20" i="7" a="1"/>
  <c r="C20" i="7" s="1"/>
  <c r="B20" i="7" a="1"/>
  <c r="B20" i="7" s="1"/>
  <c r="A20" i="7" a="1"/>
  <c r="A20" i="7" s="1"/>
  <c r="E19" i="7" a="1"/>
  <c r="E19" i="7" s="1"/>
  <c r="D19" i="7" a="1"/>
  <c r="D19" i="7" s="1"/>
  <c r="C19" i="7" a="1"/>
  <c r="C19" i="7" s="1"/>
  <c r="B19" i="7" a="1"/>
  <c r="B19" i="7" s="1"/>
  <c r="A19" i="7" a="1"/>
  <c r="A19" i="7" s="1"/>
  <c r="E18" i="7" a="1"/>
  <c r="E18" i="7" s="1"/>
  <c r="D18" i="7" a="1"/>
  <c r="D18" i="7" s="1"/>
  <c r="C18" i="7" a="1"/>
  <c r="C18" i="7" s="1"/>
  <c r="B18" i="7" a="1"/>
  <c r="B18" i="7" s="1"/>
  <c r="A18" i="7" a="1"/>
  <c r="A18" i="7" s="1"/>
  <c r="E17" i="7" a="1"/>
  <c r="E17" i="7" s="1"/>
  <c r="D17" i="7" a="1"/>
  <c r="D17" i="7" s="1"/>
  <c r="C17" i="7" a="1"/>
  <c r="C17" i="7" s="1"/>
  <c r="B17" i="7" a="1"/>
  <c r="B17" i="7" s="1"/>
  <c r="A17" i="7" a="1"/>
  <c r="A17" i="7" s="1"/>
  <c r="E16" i="7" a="1"/>
  <c r="E16" i="7" s="1"/>
  <c r="D16" i="7" a="1"/>
  <c r="D16" i="7" s="1"/>
  <c r="C16" i="7" a="1"/>
  <c r="C16" i="7" s="1"/>
  <c r="B16" i="7" a="1"/>
  <c r="B16" i="7" s="1"/>
  <c r="A16" i="7" a="1"/>
  <c r="A16" i="7" s="1"/>
  <c r="E15" i="7" a="1"/>
  <c r="E15" i="7" s="1"/>
  <c r="D15" i="7" a="1"/>
  <c r="D15" i="7" s="1"/>
  <c r="C15" i="7" a="1"/>
  <c r="C15" i="7" s="1"/>
  <c r="B15" i="7" a="1"/>
  <c r="B15" i="7" s="1"/>
  <c r="A15" i="7" a="1"/>
  <c r="A15" i="7" s="1"/>
  <c r="C53" i="6" a="1"/>
  <c r="C53" i="6" s="1"/>
  <c r="C52" i="6" a="1"/>
  <c r="C52" i="6" s="1"/>
  <c r="B52" i="6" a="1"/>
  <c r="B52" i="6" s="1"/>
  <c r="C51" i="6" a="1"/>
  <c r="C51" i="6" s="1"/>
  <c r="B51" i="6" a="1"/>
  <c r="B51" i="6" s="1"/>
  <c r="C50" i="6" a="1"/>
  <c r="C50" i="6" s="1"/>
  <c r="B50" i="6" a="1"/>
  <c r="B50" i="6" s="1"/>
  <c r="A50" i="6" a="1"/>
  <c r="A50" i="6" s="1"/>
  <c r="C49" i="6" a="1"/>
  <c r="C49" i="6" s="1"/>
  <c r="B49" i="6" a="1"/>
  <c r="B49" i="6" s="1"/>
  <c r="A49" i="6" a="1"/>
  <c r="A49" i="6" s="1"/>
  <c r="C48" i="6" a="1"/>
  <c r="C48" i="6" s="1"/>
  <c r="B48" i="6" a="1"/>
  <c r="B48" i="6" s="1"/>
  <c r="A48" i="6" a="1"/>
  <c r="A48" i="6" s="1"/>
  <c r="C47" i="6" a="1"/>
  <c r="C47" i="6" s="1"/>
  <c r="B47" i="6" a="1"/>
  <c r="B47" i="6" s="1"/>
  <c r="A47" i="6" a="1"/>
  <c r="A47" i="6" s="1"/>
  <c r="D46" i="6" a="1"/>
  <c r="D46" i="6" s="1"/>
  <c r="C46" i="6" a="1"/>
  <c r="C46" i="6" s="1"/>
  <c r="B46" i="6" a="1"/>
  <c r="B46" i="6" s="1"/>
  <c r="A46" i="6" a="1"/>
  <c r="A46" i="6" s="1"/>
  <c r="D45" i="6" a="1"/>
  <c r="D45" i="6" s="1"/>
  <c r="C45" i="6" a="1"/>
  <c r="C45" i="6" s="1"/>
  <c r="B45" i="6" a="1"/>
  <c r="B45" i="6" s="1"/>
  <c r="D44" i="6" a="1"/>
  <c r="D44" i="6" s="1"/>
  <c r="C44" i="6" a="1"/>
  <c r="C44" i="6" s="1"/>
  <c r="B44" i="6" a="1"/>
  <c r="B44" i="6" s="1"/>
  <c r="D43" i="6" a="1"/>
  <c r="D43" i="6" s="1"/>
  <c r="C43" i="6" a="1"/>
  <c r="C43" i="6" s="1"/>
  <c r="B43" i="6" a="1"/>
  <c r="B43" i="6" s="1"/>
  <c r="D42" i="6" a="1"/>
  <c r="D42" i="6" s="1"/>
  <c r="C42" i="6" a="1"/>
  <c r="C42" i="6" s="1"/>
  <c r="B42" i="6" a="1"/>
  <c r="B42" i="6" s="1"/>
  <c r="D41" i="6" a="1"/>
  <c r="D41" i="6" s="1"/>
  <c r="C41" i="6" a="1"/>
  <c r="C41" i="6" s="1"/>
  <c r="B41" i="6" a="1"/>
  <c r="B41" i="6" s="1"/>
  <c r="D40" i="6" a="1"/>
  <c r="D40" i="6" s="1"/>
  <c r="C40" i="6" a="1"/>
  <c r="C40" i="6" s="1"/>
  <c r="B40" i="6" a="1"/>
  <c r="B40" i="6" s="1"/>
  <c r="D39" i="6" a="1"/>
  <c r="D39" i="6" s="1"/>
  <c r="C39" i="6" a="1"/>
  <c r="C39" i="6" s="1"/>
  <c r="B39" i="6" a="1"/>
  <c r="B39" i="6" s="1"/>
  <c r="E38" i="6" a="1"/>
  <c r="E38" i="6" s="1"/>
  <c r="D38" i="6" a="1"/>
  <c r="D38" i="6" s="1"/>
  <c r="C38" i="6" a="1"/>
  <c r="C38" i="6" s="1"/>
  <c r="B38" i="6" a="1"/>
  <c r="B38" i="6" s="1"/>
  <c r="E37" i="6" a="1"/>
  <c r="E37" i="6" s="1"/>
  <c r="D37" i="6" a="1"/>
  <c r="D37" i="6" s="1"/>
  <c r="C37" i="6" a="1"/>
  <c r="C37" i="6" s="1"/>
  <c r="B37" i="6" a="1"/>
  <c r="B37" i="6" s="1"/>
  <c r="E36" i="6" a="1"/>
  <c r="E36" i="6" s="1"/>
  <c r="D36" i="6" a="1"/>
  <c r="D36" i="6" s="1"/>
  <c r="B36" i="6" a="1"/>
  <c r="B36" i="6" s="1"/>
  <c r="E35" i="6" a="1"/>
  <c r="E35" i="6" s="1"/>
  <c r="D35" i="6" a="1"/>
  <c r="D35" i="6" s="1"/>
  <c r="B35" i="6" a="1"/>
  <c r="B35" i="6" s="1"/>
  <c r="A35" i="6" a="1"/>
  <c r="A35" i="6" s="1"/>
  <c r="E34" i="6" a="1"/>
  <c r="E34" i="6" s="1"/>
  <c r="D34" i="6" a="1"/>
  <c r="D34" i="6" s="1"/>
  <c r="B34" i="6" a="1"/>
  <c r="B34" i="6" s="1"/>
  <c r="A34" i="6" a="1"/>
  <c r="A34" i="6" s="1"/>
  <c r="E33" i="6" a="1"/>
  <c r="E33" i="6" s="1"/>
  <c r="D33" i="6" a="1"/>
  <c r="D33" i="6" s="1"/>
  <c r="B33" i="6" a="1"/>
  <c r="B33" i="6" s="1"/>
  <c r="A33" i="6" a="1"/>
  <c r="A33" i="6" s="1"/>
  <c r="E32" i="6" a="1"/>
  <c r="E32" i="6" s="1"/>
  <c r="D32" i="6" a="1"/>
  <c r="D32" i="6" s="1"/>
  <c r="B32" i="6" a="1"/>
  <c r="B32" i="6" s="1"/>
  <c r="A32" i="6" a="1"/>
  <c r="A32" i="6" s="1"/>
  <c r="E31" i="6" a="1"/>
  <c r="E31" i="6" s="1"/>
  <c r="D31" i="6" a="1"/>
  <c r="D31" i="6" s="1"/>
  <c r="B31" i="6" a="1"/>
  <c r="B31" i="6" s="1"/>
  <c r="A31" i="6" a="1"/>
  <c r="A31" i="6" s="1"/>
  <c r="E30" i="6" a="1"/>
  <c r="E30" i="6" s="1"/>
  <c r="D30" i="6" a="1"/>
  <c r="D30" i="6" s="1"/>
  <c r="B30" i="6" a="1"/>
  <c r="B30" i="6" s="1"/>
  <c r="A30" i="6" a="1"/>
  <c r="A30" i="6" s="1"/>
  <c r="E29" i="6" a="1"/>
  <c r="E29" i="6" s="1"/>
  <c r="D29" i="6" a="1"/>
  <c r="D29" i="6" s="1"/>
  <c r="C29" i="6" a="1"/>
  <c r="C29" i="6" s="1"/>
  <c r="B29" i="6" a="1"/>
  <c r="B29" i="6" s="1"/>
  <c r="A29" i="6" a="1"/>
  <c r="A29" i="6" s="1"/>
  <c r="E28" i="6" a="1"/>
  <c r="E28" i="6" s="1"/>
  <c r="D28" i="6" a="1"/>
  <c r="D28" i="6" s="1"/>
  <c r="C28" i="6" a="1"/>
  <c r="C28" i="6" s="1"/>
  <c r="B28" i="6" a="1"/>
  <c r="B28" i="6" s="1"/>
  <c r="A28" i="6" a="1"/>
  <c r="A28" i="6" s="1"/>
  <c r="E27" i="6" a="1"/>
  <c r="E27" i="6" s="1"/>
  <c r="D27" i="6" a="1"/>
  <c r="D27" i="6" s="1"/>
  <c r="C27" i="6" a="1"/>
  <c r="C27" i="6" s="1"/>
  <c r="B27" i="6" a="1"/>
  <c r="B27" i="6" s="1"/>
  <c r="A27" i="6" a="1"/>
  <c r="A27" i="6" s="1"/>
  <c r="E26" i="6" a="1"/>
  <c r="E26" i="6" s="1"/>
  <c r="D26" i="6" a="1"/>
  <c r="D26" i="6" s="1"/>
  <c r="C26" i="6" a="1"/>
  <c r="C26" i="6" s="1"/>
  <c r="B26" i="6" a="1"/>
  <c r="B26" i="6" s="1"/>
  <c r="A26" i="6" a="1"/>
  <c r="A26" i="6" s="1"/>
  <c r="E25" i="6" a="1"/>
  <c r="E25" i="6" s="1"/>
  <c r="D25" i="6" a="1"/>
  <c r="D25" i="6" s="1"/>
  <c r="C25" i="6" a="1"/>
  <c r="C25" i="6" s="1"/>
  <c r="B25" i="6" a="1"/>
  <c r="B25" i="6" s="1"/>
  <c r="A25" i="6" a="1"/>
  <c r="A25" i="6" s="1"/>
  <c r="E24" i="6" a="1"/>
  <c r="E24" i="6" s="1"/>
  <c r="D24" i="6" a="1"/>
  <c r="D24" i="6" s="1"/>
  <c r="C24" i="6" a="1"/>
  <c r="C24" i="6" s="1"/>
  <c r="B24" i="6" a="1"/>
  <c r="B24" i="6" s="1"/>
  <c r="A24" i="6" a="1"/>
  <c r="A24" i="6" s="1"/>
  <c r="E23" i="6" a="1"/>
  <c r="E23" i="6" s="1"/>
  <c r="D23" i="6" a="1"/>
  <c r="D23" i="6" s="1"/>
  <c r="C23" i="6" a="1"/>
  <c r="C23" i="6" s="1"/>
  <c r="B23" i="6" a="1"/>
  <c r="B23" i="6" s="1"/>
  <c r="A23" i="6" a="1"/>
  <c r="A23" i="6" s="1"/>
  <c r="E22" i="6" a="1"/>
  <c r="E22" i="6" s="1"/>
  <c r="D22" i="6" a="1"/>
  <c r="D22" i="6" s="1"/>
  <c r="C22" i="6" a="1"/>
  <c r="C22" i="6" s="1"/>
  <c r="B22" i="6" a="1"/>
  <c r="B22" i="6" s="1"/>
  <c r="A22" i="6" a="1"/>
  <c r="A22" i="6" s="1"/>
  <c r="E21" i="6" a="1"/>
  <c r="E21" i="6" s="1"/>
  <c r="D21" i="6" a="1"/>
  <c r="D21" i="6" s="1"/>
  <c r="C21" i="6" a="1"/>
  <c r="C21" i="6" s="1"/>
  <c r="B21" i="6" a="1"/>
  <c r="B21" i="6" s="1"/>
  <c r="A21" i="6" a="1"/>
  <c r="A21" i="6" s="1"/>
  <c r="E20" i="6" a="1"/>
  <c r="E20" i="6" s="1"/>
  <c r="D20" i="6" a="1"/>
  <c r="D20" i="6" s="1"/>
  <c r="C20" i="6" a="1"/>
  <c r="C20" i="6" s="1"/>
  <c r="B20" i="6" a="1"/>
  <c r="B20" i="6" s="1"/>
  <c r="A20" i="6" a="1"/>
  <c r="A20" i="6" s="1"/>
  <c r="E19" i="6" a="1"/>
  <c r="E19" i="6" s="1"/>
  <c r="D19" i="6" a="1"/>
  <c r="D19" i="6" s="1"/>
  <c r="C19" i="6" a="1"/>
  <c r="C19" i="6" s="1"/>
  <c r="B19" i="6" a="1"/>
  <c r="B19" i="6" s="1"/>
  <c r="A19" i="6" a="1"/>
  <c r="A19" i="6" s="1"/>
  <c r="E18" i="6" a="1"/>
  <c r="E18" i="6" s="1"/>
  <c r="D18" i="6" a="1"/>
  <c r="D18" i="6" s="1"/>
  <c r="C18" i="6" a="1"/>
  <c r="C18" i="6" s="1"/>
  <c r="B18" i="6" a="1"/>
  <c r="B18" i="6" s="1"/>
  <c r="A18" i="6" a="1"/>
  <c r="A18" i="6" s="1"/>
  <c r="E17" i="6" a="1"/>
  <c r="E17" i="6" s="1"/>
  <c r="D17" i="6" a="1"/>
  <c r="D17" i="6" s="1"/>
  <c r="C17" i="6" a="1"/>
  <c r="C17" i="6" s="1"/>
  <c r="B17" i="6" a="1"/>
  <c r="B17" i="6" s="1"/>
  <c r="A17" i="6" a="1"/>
  <c r="A17" i="6" s="1"/>
  <c r="E16" i="6" a="1"/>
  <c r="E16" i="6" s="1"/>
  <c r="D16" i="6" a="1"/>
  <c r="D16" i="6" s="1"/>
  <c r="C16" i="6" a="1"/>
  <c r="C16" i="6" s="1"/>
  <c r="B16" i="6" a="1"/>
  <c r="B16" i="6" s="1"/>
  <c r="A16" i="6" a="1"/>
  <c r="A16" i="6" s="1"/>
  <c r="E15" i="6" a="1"/>
  <c r="E15" i="6" s="1"/>
  <c r="D15" i="6" a="1"/>
  <c r="D15" i="6" s="1"/>
  <c r="C15" i="6" a="1"/>
  <c r="C15" i="6" s="1"/>
  <c r="B15" i="6" a="1"/>
  <c r="B15" i="6" s="1"/>
  <c r="A15" i="6" a="1"/>
  <c r="A15" i="6" s="1"/>
  <c r="C53" i="5" a="1"/>
  <c r="C53" i="5" s="1"/>
  <c r="C52" i="5" a="1"/>
  <c r="C52" i="5" s="1"/>
  <c r="B52" i="5" a="1"/>
  <c r="B52" i="5" s="1"/>
  <c r="C51" i="5" a="1"/>
  <c r="C51" i="5" s="1"/>
  <c r="B51" i="5" a="1"/>
  <c r="B51" i="5" s="1"/>
  <c r="C50" i="5" a="1"/>
  <c r="C50" i="5" s="1"/>
  <c r="B50" i="5" a="1"/>
  <c r="B50" i="5" s="1"/>
  <c r="A50" i="5" a="1"/>
  <c r="A50" i="5" s="1"/>
  <c r="C49" i="5" a="1"/>
  <c r="C49" i="5" s="1"/>
  <c r="B49" i="5" a="1"/>
  <c r="B49" i="5" s="1"/>
  <c r="A49" i="5" a="1"/>
  <c r="A49" i="5" s="1"/>
  <c r="C48" i="5" a="1"/>
  <c r="C48" i="5" s="1"/>
  <c r="B48" i="5" a="1"/>
  <c r="B48" i="5" s="1"/>
  <c r="A48" i="5" a="1"/>
  <c r="A48" i="5" s="1"/>
  <c r="C47" i="5" a="1"/>
  <c r="C47" i="5" s="1"/>
  <c r="B47" i="5" a="1"/>
  <c r="B47" i="5" s="1"/>
  <c r="A47" i="5" a="1"/>
  <c r="A47" i="5" s="1"/>
  <c r="D46" i="5" a="1"/>
  <c r="D46" i="5" s="1"/>
  <c r="C46" i="5" a="1"/>
  <c r="C46" i="5" s="1"/>
  <c r="B46" i="5" a="1"/>
  <c r="B46" i="5" s="1"/>
  <c r="A46" i="5" a="1"/>
  <c r="A46" i="5" s="1"/>
  <c r="D45" i="5" a="1"/>
  <c r="D45" i="5" s="1"/>
  <c r="C45" i="5" a="1"/>
  <c r="C45" i="5" s="1"/>
  <c r="B45" i="5" a="1"/>
  <c r="B45" i="5" s="1"/>
  <c r="D44" i="5" a="1"/>
  <c r="D44" i="5" s="1"/>
  <c r="C44" i="5" a="1"/>
  <c r="C44" i="5" s="1"/>
  <c r="B44" i="5" a="1"/>
  <c r="B44" i="5" s="1"/>
  <c r="D43" i="5" a="1"/>
  <c r="D43" i="5" s="1"/>
  <c r="C43" i="5" a="1"/>
  <c r="C43" i="5" s="1"/>
  <c r="B43" i="5" a="1"/>
  <c r="B43" i="5" s="1"/>
  <c r="D42" i="5" a="1"/>
  <c r="D42" i="5" s="1"/>
  <c r="C42" i="5" a="1"/>
  <c r="C42" i="5" s="1"/>
  <c r="B42" i="5" a="1"/>
  <c r="B42" i="5" s="1"/>
  <c r="D41" i="5" a="1"/>
  <c r="D41" i="5" s="1"/>
  <c r="C41" i="5" a="1"/>
  <c r="C41" i="5" s="1"/>
  <c r="B41" i="5" a="1"/>
  <c r="B41" i="5" s="1"/>
  <c r="D40" i="5" a="1"/>
  <c r="D40" i="5" s="1"/>
  <c r="C40" i="5" a="1"/>
  <c r="C40" i="5" s="1"/>
  <c r="B40" i="5" a="1"/>
  <c r="B40" i="5" s="1"/>
  <c r="D39" i="5" a="1"/>
  <c r="D39" i="5" s="1"/>
  <c r="C39" i="5" a="1"/>
  <c r="C39" i="5" s="1"/>
  <c r="B39" i="5" a="1"/>
  <c r="B39" i="5" s="1"/>
  <c r="E38" i="5" a="1"/>
  <c r="E38" i="5" s="1"/>
  <c r="D38" i="5" a="1"/>
  <c r="D38" i="5" s="1"/>
  <c r="C38" i="5" a="1"/>
  <c r="C38" i="5" s="1"/>
  <c r="B38" i="5" a="1"/>
  <c r="B38" i="5" s="1"/>
  <c r="E37" i="5" a="1"/>
  <c r="E37" i="5" s="1"/>
  <c r="D37" i="5" a="1"/>
  <c r="D37" i="5" s="1"/>
  <c r="C37" i="5" a="1"/>
  <c r="C37" i="5" s="1"/>
  <c r="B37" i="5" a="1"/>
  <c r="B37" i="5" s="1"/>
  <c r="E36" i="5" a="1"/>
  <c r="E36" i="5" s="1"/>
  <c r="D36" i="5" a="1"/>
  <c r="D36" i="5" s="1"/>
  <c r="B36" i="5" a="1"/>
  <c r="B36" i="5" s="1"/>
  <c r="E35" i="5" a="1"/>
  <c r="E35" i="5" s="1"/>
  <c r="D35" i="5" a="1"/>
  <c r="D35" i="5" s="1"/>
  <c r="B35" i="5" a="1"/>
  <c r="B35" i="5" s="1"/>
  <c r="A35" i="5" a="1"/>
  <c r="A35" i="5" s="1"/>
  <c r="E34" i="5" a="1"/>
  <c r="E34" i="5" s="1"/>
  <c r="D34" i="5" a="1"/>
  <c r="D34" i="5" s="1"/>
  <c r="B34" i="5" a="1"/>
  <c r="B34" i="5" s="1"/>
  <c r="A34" i="5" a="1"/>
  <c r="A34" i="5" s="1"/>
  <c r="E33" i="5" a="1"/>
  <c r="E33" i="5" s="1"/>
  <c r="D33" i="5" a="1"/>
  <c r="D33" i="5" s="1"/>
  <c r="B33" i="5" a="1"/>
  <c r="B33" i="5" s="1"/>
  <c r="A33" i="5" a="1"/>
  <c r="A33" i="5" s="1"/>
  <c r="E32" i="5" a="1"/>
  <c r="E32" i="5" s="1"/>
  <c r="D32" i="5" a="1"/>
  <c r="D32" i="5" s="1"/>
  <c r="B32" i="5" a="1"/>
  <c r="B32" i="5" s="1"/>
  <c r="A32" i="5" a="1"/>
  <c r="A32" i="5" s="1"/>
  <c r="E31" i="5" a="1"/>
  <c r="E31" i="5" s="1"/>
  <c r="D31" i="5" a="1"/>
  <c r="D31" i="5" s="1"/>
  <c r="B31" i="5" a="1"/>
  <c r="B31" i="5" s="1"/>
  <c r="A31" i="5" a="1"/>
  <c r="A31" i="5" s="1"/>
  <c r="E30" i="5" a="1"/>
  <c r="E30" i="5" s="1"/>
  <c r="D30" i="5" a="1"/>
  <c r="D30" i="5" s="1"/>
  <c r="B30" i="5" a="1"/>
  <c r="B30" i="5" s="1"/>
  <c r="A30" i="5" a="1"/>
  <c r="A30" i="5" s="1"/>
  <c r="E29" i="5" a="1"/>
  <c r="E29" i="5" s="1"/>
  <c r="D29" i="5" a="1"/>
  <c r="D29" i="5" s="1"/>
  <c r="C29" i="5" a="1"/>
  <c r="C29" i="5" s="1"/>
  <c r="B29" i="5" a="1"/>
  <c r="B29" i="5" s="1"/>
  <c r="A29" i="5" a="1"/>
  <c r="A29" i="5" s="1"/>
  <c r="E28" i="5" a="1"/>
  <c r="E28" i="5" s="1"/>
  <c r="D28" i="5" a="1"/>
  <c r="D28" i="5" s="1"/>
  <c r="C28" i="5" a="1"/>
  <c r="C28" i="5" s="1"/>
  <c r="B28" i="5" a="1"/>
  <c r="B28" i="5" s="1"/>
  <c r="A28" i="5" a="1"/>
  <c r="A28" i="5" s="1"/>
  <c r="E27" i="5" a="1"/>
  <c r="E27" i="5" s="1"/>
  <c r="D27" i="5" a="1"/>
  <c r="D27" i="5" s="1"/>
  <c r="C27" i="5" a="1"/>
  <c r="C27" i="5" s="1"/>
  <c r="B27" i="5" a="1"/>
  <c r="B27" i="5" s="1"/>
  <c r="A27" i="5" a="1"/>
  <c r="A27" i="5" s="1"/>
  <c r="E26" i="5" a="1"/>
  <c r="E26" i="5" s="1"/>
  <c r="D26" i="5" a="1"/>
  <c r="D26" i="5" s="1"/>
  <c r="C26" i="5" a="1"/>
  <c r="C26" i="5" s="1"/>
  <c r="B26" i="5" a="1"/>
  <c r="B26" i="5" s="1"/>
  <c r="A26" i="5" a="1"/>
  <c r="A26" i="5" s="1"/>
  <c r="E25" i="5" a="1"/>
  <c r="E25" i="5" s="1"/>
  <c r="D25" i="5" a="1"/>
  <c r="D25" i="5" s="1"/>
  <c r="C25" i="5" a="1"/>
  <c r="C25" i="5" s="1"/>
  <c r="B25" i="5" a="1"/>
  <c r="B25" i="5" s="1"/>
  <c r="A25" i="5" a="1"/>
  <c r="A25" i="5" s="1"/>
  <c r="E24" i="5" a="1"/>
  <c r="E24" i="5" s="1"/>
  <c r="D24" i="5" a="1"/>
  <c r="D24" i="5" s="1"/>
  <c r="C24" i="5" a="1"/>
  <c r="C24" i="5" s="1"/>
  <c r="B24" i="5" a="1"/>
  <c r="B24" i="5" s="1"/>
  <c r="A24" i="5" a="1"/>
  <c r="A24" i="5" s="1"/>
  <c r="E23" i="5" a="1"/>
  <c r="E23" i="5" s="1"/>
  <c r="D23" i="5" a="1"/>
  <c r="D23" i="5" s="1"/>
  <c r="C23" i="5" a="1"/>
  <c r="C23" i="5" s="1"/>
  <c r="B23" i="5" a="1"/>
  <c r="B23" i="5" s="1"/>
  <c r="A23" i="5" a="1"/>
  <c r="A23" i="5" s="1"/>
  <c r="E22" i="5" a="1"/>
  <c r="E22" i="5" s="1"/>
  <c r="D22" i="5" a="1"/>
  <c r="D22" i="5" s="1"/>
  <c r="C22" i="5" a="1"/>
  <c r="C22" i="5" s="1"/>
  <c r="B22" i="5" a="1"/>
  <c r="B22" i="5" s="1"/>
  <c r="A22" i="5" a="1"/>
  <c r="A22" i="5" s="1"/>
  <c r="E21" i="5" a="1"/>
  <c r="E21" i="5" s="1"/>
  <c r="D21" i="5" a="1"/>
  <c r="D21" i="5" s="1"/>
  <c r="C21" i="5" a="1"/>
  <c r="C21" i="5" s="1"/>
  <c r="B21" i="5" a="1"/>
  <c r="B21" i="5" s="1"/>
  <c r="A21" i="5" a="1"/>
  <c r="A21" i="5" s="1"/>
  <c r="E20" i="5" a="1"/>
  <c r="E20" i="5" s="1"/>
  <c r="D20" i="5" a="1"/>
  <c r="D20" i="5" s="1"/>
  <c r="C20" i="5" a="1"/>
  <c r="C20" i="5" s="1"/>
  <c r="B20" i="5" a="1"/>
  <c r="B20" i="5" s="1"/>
  <c r="A20" i="5" a="1"/>
  <c r="A20" i="5" s="1"/>
  <c r="E19" i="5" a="1"/>
  <c r="E19" i="5" s="1"/>
  <c r="D19" i="5" a="1"/>
  <c r="D19" i="5" s="1"/>
  <c r="C19" i="5" a="1"/>
  <c r="C19" i="5" s="1"/>
  <c r="B19" i="5" a="1"/>
  <c r="B19" i="5" s="1"/>
  <c r="A19" i="5" a="1"/>
  <c r="A19" i="5" s="1"/>
  <c r="E18" i="5" a="1"/>
  <c r="E18" i="5" s="1"/>
  <c r="D18" i="5" a="1"/>
  <c r="D18" i="5" s="1"/>
  <c r="C18" i="5" a="1"/>
  <c r="C18" i="5" s="1"/>
  <c r="B18" i="5" a="1"/>
  <c r="B18" i="5" s="1"/>
  <c r="A18" i="5" a="1"/>
  <c r="A18" i="5" s="1"/>
  <c r="E17" i="5" a="1"/>
  <c r="E17" i="5" s="1"/>
  <c r="D17" i="5" a="1"/>
  <c r="D17" i="5" s="1"/>
  <c r="C17" i="5" a="1"/>
  <c r="C17" i="5" s="1"/>
  <c r="B17" i="5" a="1"/>
  <c r="B17" i="5" s="1"/>
  <c r="A17" i="5" a="1"/>
  <c r="A17" i="5" s="1"/>
  <c r="E16" i="5" a="1"/>
  <c r="E16" i="5" s="1"/>
  <c r="D16" i="5" a="1"/>
  <c r="D16" i="5" s="1"/>
  <c r="C16" i="5" a="1"/>
  <c r="C16" i="5" s="1"/>
  <c r="B16" i="5" a="1"/>
  <c r="B16" i="5" s="1"/>
  <c r="A16" i="5" a="1"/>
  <c r="A16" i="5" s="1"/>
  <c r="E15" i="5" a="1"/>
  <c r="E15" i="5" s="1"/>
  <c r="D15" i="5" a="1"/>
  <c r="D15" i="5" s="1"/>
  <c r="C15" i="5" a="1"/>
  <c r="C15" i="5" s="1"/>
  <c r="B15" i="5" a="1"/>
  <c r="B15" i="5" s="1"/>
  <c r="A15" i="5" a="1"/>
  <c r="A15" i="5" s="1"/>
  <c r="C53" i="4" a="1"/>
  <c r="C53" i="4" s="1"/>
  <c r="C52" i="4" a="1"/>
  <c r="C52" i="4" s="1"/>
  <c r="B52" i="4" a="1"/>
  <c r="B52" i="4" s="1"/>
  <c r="C51" i="4" a="1"/>
  <c r="C51" i="4" s="1"/>
  <c r="B51" i="4" a="1"/>
  <c r="B51" i="4" s="1"/>
  <c r="C50" i="4" a="1"/>
  <c r="C50" i="4" s="1"/>
  <c r="B50" i="4" a="1"/>
  <c r="B50" i="4" s="1"/>
  <c r="A50" i="4" a="1"/>
  <c r="A50" i="4" s="1"/>
  <c r="C49" i="4" a="1"/>
  <c r="C49" i="4" s="1"/>
  <c r="B49" i="4" a="1"/>
  <c r="B49" i="4" s="1"/>
  <c r="A49" i="4" a="1"/>
  <c r="A49" i="4" s="1"/>
  <c r="C48" i="4" a="1"/>
  <c r="C48" i="4" s="1"/>
  <c r="B48" i="4" a="1"/>
  <c r="B48" i="4" s="1"/>
  <c r="A48" i="4" a="1"/>
  <c r="A48" i="4" s="1"/>
  <c r="C47" i="4" a="1"/>
  <c r="C47" i="4" s="1"/>
  <c r="B47" i="4" a="1"/>
  <c r="B47" i="4" s="1"/>
  <c r="A47" i="4" a="1"/>
  <c r="A47" i="4" s="1"/>
  <c r="D46" i="4" a="1"/>
  <c r="D46" i="4" s="1"/>
  <c r="C46" i="4" a="1"/>
  <c r="C46" i="4" s="1"/>
  <c r="B46" i="4" a="1"/>
  <c r="B46" i="4" s="1"/>
  <c r="A46" i="4" a="1"/>
  <c r="A46" i="4" s="1"/>
  <c r="D45" i="4" a="1"/>
  <c r="D45" i="4" s="1"/>
  <c r="C45" i="4" a="1"/>
  <c r="C45" i="4" s="1"/>
  <c r="B45" i="4" a="1"/>
  <c r="B45" i="4" s="1"/>
  <c r="D44" i="4" a="1"/>
  <c r="D44" i="4" s="1"/>
  <c r="C44" i="4" a="1"/>
  <c r="C44" i="4" s="1"/>
  <c r="B44" i="4" a="1"/>
  <c r="B44" i="4" s="1"/>
  <c r="D43" i="4" a="1"/>
  <c r="D43" i="4" s="1"/>
  <c r="C43" i="4" a="1"/>
  <c r="C43" i="4" s="1"/>
  <c r="B43" i="4" a="1"/>
  <c r="B43" i="4" s="1"/>
  <c r="D42" i="4" a="1"/>
  <c r="D42" i="4" s="1"/>
  <c r="C42" i="4" a="1"/>
  <c r="C42" i="4" s="1"/>
  <c r="B42" i="4" a="1"/>
  <c r="B42" i="4" s="1"/>
  <c r="D41" i="4" a="1"/>
  <c r="D41" i="4" s="1"/>
  <c r="C41" i="4" a="1"/>
  <c r="C41" i="4" s="1"/>
  <c r="B41" i="4" a="1"/>
  <c r="B41" i="4" s="1"/>
  <c r="D40" i="4" a="1"/>
  <c r="D40" i="4" s="1"/>
  <c r="C40" i="4" a="1"/>
  <c r="C40" i="4" s="1"/>
  <c r="B40" i="4" a="1"/>
  <c r="B40" i="4" s="1"/>
  <c r="D39" i="4" a="1"/>
  <c r="D39" i="4" s="1"/>
  <c r="C39" i="4" a="1"/>
  <c r="C39" i="4" s="1"/>
  <c r="B39" i="4" a="1"/>
  <c r="B39" i="4" s="1"/>
  <c r="E38" i="4" a="1"/>
  <c r="E38" i="4" s="1"/>
  <c r="D38" i="4" a="1"/>
  <c r="D38" i="4" s="1"/>
  <c r="C38" i="4" a="1"/>
  <c r="C38" i="4" s="1"/>
  <c r="B38" i="4" a="1"/>
  <c r="B38" i="4" s="1"/>
  <c r="E37" i="4" a="1"/>
  <c r="E37" i="4" s="1"/>
  <c r="D37" i="4" a="1"/>
  <c r="D37" i="4" s="1"/>
  <c r="C37" i="4" a="1"/>
  <c r="C37" i="4" s="1"/>
  <c r="B37" i="4" a="1"/>
  <c r="B37" i="4" s="1"/>
  <c r="E36" i="4" a="1"/>
  <c r="E36" i="4" s="1"/>
  <c r="D36" i="4" a="1"/>
  <c r="D36" i="4" s="1"/>
  <c r="B36" i="4" a="1"/>
  <c r="B36" i="4" s="1"/>
  <c r="E35" i="4" a="1"/>
  <c r="E35" i="4" s="1"/>
  <c r="D35" i="4" a="1"/>
  <c r="D35" i="4" s="1"/>
  <c r="B35" i="4" a="1"/>
  <c r="B35" i="4" s="1"/>
  <c r="A35" i="4" a="1"/>
  <c r="A35" i="4" s="1"/>
  <c r="E34" i="4" a="1"/>
  <c r="E34" i="4" s="1"/>
  <c r="D34" i="4" a="1"/>
  <c r="D34" i="4" s="1"/>
  <c r="B34" i="4" a="1"/>
  <c r="B34" i="4" s="1"/>
  <c r="A34" i="4" a="1"/>
  <c r="A34" i="4" s="1"/>
  <c r="E33" i="4" a="1"/>
  <c r="E33" i="4" s="1"/>
  <c r="D33" i="4" a="1"/>
  <c r="D33" i="4" s="1"/>
  <c r="B33" i="4" a="1"/>
  <c r="B33" i="4" s="1"/>
  <c r="A33" i="4" a="1"/>
  <c r="A33" i="4" s="1"/>
  <c r="E32" i="4" a="1"/>
  <c r="E32" i="4" s="1"/>
  <c r="D32" i="4" a="1"/>
  <c r="D32" i="4" s="1"/>
  <c r="B32" i="4" a="1"/>
  <c r="B32" i="4" s="1"/>
  <c r="A32" i="4" a="1"/>
  <c r="A32" i="4" s="1"/>
  <c r="E31" i="4" a="1"/>
  <c r="E31" i="4" s="1"/>
  <c r="D31" i="4" a="1"/>
  <c r="D31" i="4" s="1"/>
  <c r="B31" i="4" a="1"/>
  <c r="B31" i="4" s="1"/>
  <c r="A31" i="4" a="1"/>
  <c r="A31" i="4" s="1"/>
  <c r="E30" i="4" a="1"/>
  <c r="E30" i="4" s="1"/>
  <c r="D30" i="4" a="1"/>
  <c r="D30" i="4" s="1"/>
  <c r="B30" i="4" a="1"/>
  <c r="B30" i="4" s="1"/>
  <c r="A30" i="4" a="1"/>
  <c r="A30" i="4" s="1"/>
  <c r="E29" i="4" a="1"/>
  <c r="E29" i="4" s="1"/>
  <c r="D29" i="4" a="1"/>
  <c r="D29" i="4" s="1"/>
  <c r="C29" i="4" a="1"/>
  <c r="C29" i="4" s="1"/>
  <c r="B29" i="4" a="1"/>
  <c r="B29" i="4" s="1"/>
  <c r="A29" i="4" a="1"/>
  <c r="A29" i="4" s="1"/>
  <c r="E28" i="4" a="1"/>
  <c r="E28" i="4" s="1"/>
  <c r="D28" i="4" a="1"/>
  <c r="D28" i="4" s="1"/>
  <c r="C28" i="4" a="1"/>
  <c r="C28" i="4" s="1"/>
  <c r="B28" i="4" a="1"/>
  <c r="B28" i="4" s="1"/>
  <c r="A28" i="4" a="1"/>
  <c r="A28" i="4" s="1"/>
  <c r="E27" i="4" a="1"/>
  <c r="E27" i="4" s="1"/>
  <c r="D27" i="4" a="1"/>
  <c r="D27" i="4" s="1"/>
  <c r="C27" i="4" a="1"/>
  <c r="C27" i="4" s="1"/>
  <c r="B27" i="4" a="1"/>
  <c r="B27" i="4" s="1"/>
  <c r="A27" i="4" a="1"/>
  <c r="A27" i="4" s="1"/>
  <c r="E26" i="4" a="1"/>
  <c r="E26" i="4" s="1"/>
  <c r="D26" i="4" a="1"/>
  <c r="D26" i="4" s="1"/>
  <c r="C26" i="4" a="1"/>
  <c r="C26" i="4" s="1"/>
  <c r="B26" i="4" a="1"/>
  <c r="B26" i="4" s="1"/>
  <c r="A26" i="4" a="1"/>
  <c r="A26" i="4" s="1"/>
  <c r="E25" i="4" a="1"/>
  <c r="E25" i="4" s="1"/>
  <c r="D25" i="4" a="1"/>
  <c r="D25" i="4" s="1"/>
  <c r="C25" i="4" a="1"/>
  <c r="C25" i="4" s="1"/>
  <c r="B25" i="4" a="1"/>
  <c r="B25" i="4" s="1"/>
  <c r="A25" i="4" a="1"/>
  <c r="A25" i="4" s="1"/>
  <c r="E24" i="4" a="1"/>
  <c r="E24" i="4" s="1"/>
  <c r="D24" i="4" a="1"/>
  <c r="D24" i="4" s="1"/>
  <c r="C24" i="4" a="1"/>
  <c r="C24" i="4" s="1"/>
  <c r="B24" i="4" a="1"/>
  <c r="B24" i="4" s="1"/>
  <c r="A24" i="4" a="1"/>
  <c r="A24" i="4" s="1"/>
  <c r="E23" i="4" a="1"/>
  <c r="E23" i="4" s="1"/>
  <c r="D23" i="4" a="1"/>
  <c r="D23" i="4" s="1"/>
  <c r="C23" i="4" a="1"/>
  <c r="C23" i="4" s="1"/>
  <c r="B23" i="4" a="1"/>
  <c r="B23" i="4" s="1"/>
  <c r="A23" i="4" a="1"/>
  <c r="A23" i="4" s="1"/>
  <c r="E22" i="4" a="1"/>
  <c r="E22" i="4" s="1"/>
  <c r="D22" i="4" a="1"/>
  <c r="D22" i="4" s="1"/>
  <c r="C22" i="4" a="1"/>
  <c r="C22" i="4" s="1"/>
  <c r="B22" i="4" a="1"/>
  <c r="B22" i="4" s="1"/>
  <c r="A22" i="4" a="1"/>
  <c r="A22" i="4" s="1"/>
  <c r="E21" i="4" a="1"/>
  <c r="E21" i="4" s="1"/>
  <c r="D21" i="4" a="1"/>
  <c r="D21" i="4" s="1"/>
  <c r="C21" i="4" a="1"/>
  <c r="C21" i="4" s="1"/>
  <c r="B21" i="4" a="1"/>
  <c r="B21" i="4" s="1"/>
  <c r="A21" i="4" a="1"/>
  <c r="A21" i="4" s="1"/>
  <c r="E20" i="4" a="1"/>
  <c r="E20" i="4" s="1"/>
  <c r="D20" i="4" a="1"/>
  <c r="D20" i="4" s="1"/>
  <c r="C20" i="4" a="1"/>
  <c r="C20" i="4" s="1"/>
  <c r="B20" i="4" a="1"/>
  <c r="B20" i="4" s="1"/>
  <c r="A20" i="4" a="1"/>
  <c r="A20" i="4" s="1"/>
  <c r="E19" i="4" a="1"/>
  <c r="E19" i="4" s="1"/>
  <c r="D19" i="4" a="1"/>
  <c r="D19" i="4" s="1"/>
  <c r="C19" i="4" a="1"/>
  <c r="C19" i="4" s="1"/>
  <c r="B19" i="4" a="1"/>
  <c r="B19" i="4" s="1"/>
  <c r="A19" i="4" a="1"/>
  <c r="A19" i="4" s="1"/>
  <c r="E18" i="4" a="1"/>
  <c r="E18" i="4" s="1"/>
  <c r="D18" i="4" a="1"/>
  <c r="D18" i="4" s="1"/>
  <c r="C18" i="4" a="1"/>
  <c r="C18" i="4" s="1"/>
  <c r="B18" i="4" a="1"/>
  <c r="B18" i="4" s="1"/>
  <c r="A18" i="4" a="1"/>
  <c r="A18" i="4" s="1"/>
  <c r="E17" i="4" a="1"/>
  <c r="E17" i="4" s="1"/>
  <c r="D17" i="4" a="1"/>
  <c r="D17" i="4" s="1"/>
  <c r="C17" i="4" a="1"/>
  <c r="C17" i="4" s="1"/>
  <c r="B17" i="4" a="1"/>
  <c r="B17" i="4" s="1"/>
  <c r="A17" i="4" a="1"/>
  <c r="A17" i="4" s="1"/>
  <c r="E16" i="4" a="1"/>
  <c r="E16" i="4" s="1"/>
  <c r="D16" i="4" a="1"/>
  <c r="D16" i="4" s="1"/>
  <c r="C16" i="4" a="1"/>
  <c r="C16" i="4" s="1"/>
  <c r="B16" i="4" a="1"/>
  <c r="B16" i="4" s="1"/>
  <c r="A16" i="4" a="1"/>
  <c r="A16" i="4" s="1"/>
  <c r="E15" i="4" a="1"/>
  <c r="E15" i="4" s="1"/>
  <c r="D15" i="4" a="1"/>
  <c r="D15" i="4" s="1"/>
  <c r="C15" i="4" a="1"/>
  <c r="C15" i="4" s="1"/>
  <c r="B15" i="4" a="1"/>
  <c r="B15" i="4" s="1"/>
  <c r="A15" i="4" a="1"/>
  <c r="A15" i="4" s="1"/>
  <c r="C53" i="3" a="1"/>
  <c r="C53" i="3" s="1"/>
  <c r="C52" i="3" a="1"/>
  <c r="C52" i="3" s="1"/>
  <c r="B52" i="3" a="1"/>
  <c r="B52" i="3" s="1"/>
  <c r="C51" i="3" a="1"/>
  <c r="C51" i="3" s="1"/>
  <c r="B51" i="3" a="1"/>
  <c r="B51" i="3" s="1"/>
  <c r="C50" i="3" a="1"/>
  <c r="C50" i="3" s="1"/>
  <c r="B50" i="3" a="1"/>
  <c r="B50" i="3" s="1"/>
  <c r="A50" i="3" a="1"/>
  <c r="A50" i="3" s="1"/>
  <c r="C49" i="3" a="1"/>
  <c r="C49" i="3" s="1"/>
  <c r="B49" i="3" a="1"/>
  <c r="B49" i="3" s="1"/>
  <c r="A49" i="3" a="1"/>
  <c r="A49" i="3" s="1"/>
  <c r="C48" i="3" a="1"/>
  <c r="C48" i="3" s="1"/>
  <c r="B48" i="3" a="1"/>
  <c r="B48" i="3" s="1"/>
  <c r="A48" i="3" a="1"/>
  <c r="A48" i="3" s="1"/>
  <c r="C47" i="3" a="1"/>
  <c r="C47" i="3" s="1"/>
  <c r="B47" i="3" a="1"/>
  <c r="B47" i="3" s="1"/>
  <c r="A47" i="3" a="1"/>
  <c r="A47" i="3" s="1"/>
  <c r="D46" i="3" a="1"/>
  <c r="D46" i="3" s="1"/>
  <c r="C46" i="3" a="1"/>
  <c r="C46" i="3" s="1"/>
  <c r="B46" i="3" a="1"/>
  <c r="B46" i="3" s="1"/>
  <c r="A46" i="3" a="1"/>
  <c r="A46" i="3" s="1"/>
  <c r="D45" i="3" a="1"/>
  <c r="D45" i="3" s="1"/>
  <c r="C45" i="3" a="1"/>
  <c r="C45" i="3" s="1"/>
  <c r="B45" i="3" a="1"/>
  <c r="B45" i="3" s="1"/>
  <c r="D44" i="3" a="1"/>
  <c r="D44" i="3" s="1"/>
  <c r="C44" i="3" a="1"/>
  <c r="C44" i="3" s="1"/>
  <c r="B44" i="3" a="1"/>
  <c r="B44" i="3" s="1"/>
  <c r="D43" i="3" a="1"/>
  <c r="D43" i="3" s="1"/>
  <c r="C43" i="3" a="1"/>
  <c r="C43" i="3" s="1"/>
  <c r="B43" i="3" a="1"/>
  <c r="B43" i="3" s="1"/>
  <c r="D42" i="3" a="1"/>
  <c r="D42" i="3" s="1"/>
  <c r="C42" i="3" a="1"/>
  <c r="C42" i="3" s="1"/>
  <c r="B42" i="3" a="1"/>
  <c r="B42" i="3" s="1"/>
  <c r="D41" i="3" a="1"/>
  <c r="D41" i="3" s="1"/>
  <c r="C41" i="3" a="1"/>
  <c r="C41" i="3" s="1"/>
  <c r="B41" i="3" a="1"/>
  <c r="B41" i="3" s="1"/>
  <c r="D40" i="3" a="1"/>
  <c r="D40" i="3" s="1"/>
  <c r="C40" i="3" a="1"/>
  <c r="C40" i="3" s="1"/>
  <c r="B40" i="3" a="1"/>
  <c r="B40" i="3" s="1"/>
  <c r="D39" i="3" a="1"/>
  <c r="D39" i="3" s="1"/>
  <c r="C39" i="3" a="1"/>
  <c r="C39" i="3" s="1"/>
  <c r="B39" i="3" a="1"/>
  <c r="B39" i="3" s="1"/>
  <c r="E38" i="3" a="1"/>
  <c r="E38" i="3" s="1"/>
  <c r="D38" i="3" a="1"/>
  <c r="D38" i="3" s="1"/>
  <c r="C38" i="3" a="1"/>
  <c r="C38" i="3" s="1"/>
  <c r="B38" i="3" a="1"/>
  <c r="B38" i="3" s="1"/>
  <c r="E37" i="3" a="1"/>
  <c r="E37" i="3" s="1"/>
  <c r="D37" i="3" a="1"/>
  <c r="D37" i="3" s="1"/>
  <c r="C37" i="3" a="1"/>
  <c r="C37" i="3" s="1"/>
  <c r="B37" i="3" a="1"/>
  <c r="B37" i="3" s="1"/>
  <c r="E36" i="3" a="1"/>
  <c r="E36" i="3" s="1"/>
  <c r="D36" i="3" a="1"/>
  <c r="D36" i="3" s="1"/>
  <c r="B36" i="3" a="1"/>
  <c r="B36" i="3" s="1"/>
  <c r="E35" i="3" a="1"/>
  <c r="E35" i="3" s="1"/>
  <c r="D35" i="3" a="1"/>
  <c r="D35" i="3" s="1"/>
  <c r="B35" i="3" a="1"/>
  <c r="B35" i="3" s="1"/>
  <c r="A35" i="3" a="1"/>
  <c r="A35" i="3" s="1"/>
  <c r="E34" i="3" a="1"/>
  <c r="E34" i="3" s="1"/>
  <c r="D34" i="3" a="1"/>
  <c r="D34" i="3" s="1"/>
  <c r="B34" i="3" a="1"/>
  <c r="B34" i="3" s="1"/>
  <c r="A34" i="3" a="1"/>
  <c r="A34" i="3" s="1"/>
  <c r="E33" i="3" a="1"/>
  <c r="E33" i="3" s="1"/>
  <c r="D33" i="3" a="1"/>
  <c r="D33" i="3" s="1"/>
  <c r="B33" i="3" a="1"/>
  <c r="B33" i="3" s="1"/>
  <c r="A33" i="3" a="1"/>
  <c r="A33" i="3" s="1"/>
  <c r="E32" i="3" a="1"/>
  <c r="E32" i="3" s="1"/>
  <c r="D32" i="3" a="1"/>
  <c r="D32" i="3" s="1"/>
  <c r="B32" i="3" a="1"/>
  <c r="B32" i="3" s="1"/>
  <c r="A32" i="3" a="1"/>
  <c r="A32" i="3" s="1"/>
  <c r="E31" i="3" a="1"/>
  <c r="E31" i="3" s="1"/>
  <c r="D31" i="3" a="1"/>
  <c r="D31" i="3" s="1"/>
  <c r="B31" i="3" a="1"/>
  <c r="B31" i="3" s="1"/>
  <c r="A31" i="3" a="1"/>
  <c r="A31" i="3" s="1"/>
  <c r="E30" i="3" a="1"/>
  <c r="E30" i="3" s="1"/>
  <c r="D30" i="3" a="1"/>
  <c r="D30" i="3" s="1"/>
  <c r="B30" i="3" a="1"/>
  <c r="B30" i="3" s="1"/>
  <c r="A30" i="3" a="1"/>
  <c r="A30" i="3" s="1"/>
  <c r="E29" i="3" a="1"/>
  <c r="E29" i="3" s="1"/>
  <c r="D29" i="3" a="1"/>
  <c r="D29" i="3" s="1"/>
  <c r="C29" i="3" a="1"/>
  <c r="C29" i="3" s="1"/>
  <c r="B29" i="3" a="1"/>
  <c r="B29" i="3" s="1"/>
  <c r="A29" i="3" a="1"/>
  <c r="A29" i="3" s="1"/>
  <c r="E28" i="3" a="1"/>
  <c r="E28" i="3" s="1"/>
  <c r="D28" i="3" a="1"/>
  <c r="D28" i="3" s="1"/>
  <c r="C28" i="3" a="1"/>
  <c r="C28" i="3" s="1"/>
  <c r="B28" i="3" a="1"/>
  <c r="B28" i="3" s="1"/>
  <c r="A28" i="3" a="1"/>
  <c r="A28" i="3" s="1"/>
  <c r="E27" i="3" a="1"/>
  <c r="E27" i="3" s="1"/>
  <c r="D27" i="3" a="1"/>
  <c r="D27" i="3" s="1"/>
  <c r="C27" i="3" a="1"/>
  <c r="C27" i="3" s="1"/>
  <c r="B27" i="3" a="1"/>
  <c r="B27" i="3" s="1"/>
  <c r="A27" i="3" a="1"/>
  <c r="A27" i="3" s="1"/>
  <c r="E26" i="3" a="1"/>
  <c r="E26" i="3" s="1"/>
  <c r="D26" i="3" a="1"/>
  <c r="D26" i="3" s="1"/>
  <c r="C26" i="3" a="1"/>
  <c r="C26" i="3" s="1"/>
  <c r="B26" i="3" a="1"/>
  <c r="B26" i="3" s="1"/>
  <c r="A26" i="3" a="1"/>
  <c r="A26" i="3" s="1"/>
  <c r="E25" i="3" a="1"/>
  <c r="E25" i="3" s="1"/>
  <c r="D25" i="3" a="1"/>
  <c r="D25" i="3" s="1"/>
  <c r="C25" i="3" a="1"/>
  <c r="C25" i="3" s="1"/>
  <c r="B25" i="3" a="1"/>
  <c r="B25" i="3" s="1"/>
  <c r="A25" i="3" a="1"/>
  <c r="A25" i="3" s="1"/>
  <c r="E24" i="3" a="1"/>
  <c r="E24" i="3" s="1"/>
  <c r="D24" i="3" a="1"/>
  <c r="D24" i="3" s="1"/>
  <c r="C24" i="3" a="1"/>
  <c r="C24" i="3" s="1"/>
  <c r="B24" i="3" a="1"/>
  <c r="B24" i="3" s="1"/>
  <c r="A24" i="3" a="1"/>
  <c r="A24" i="3" s="1"/>
  <c r="E23" i="3" a="1"/>
  <c r="E23" i="3" s="1"/>
  <c r="D23" i="3" a="1"/>
  <c r="D23" i="3" s="1"/>
  <c r="C23" i="3" a="1"/>
  <c r="C23" i="3" s="1"/>
  <c r="B23" i="3" a="1"/>
  <c r="B23" i="3" s="1"/>
  <c r="A23" i="3" a="1"/>
  <c r="A23" i="3" s="1"/>
  <c r="E22" i="3" a="1"/>
  <c r="E22" i="3" s="1"/>
  <c r="D22" i="3" a="1"/>
  <c r="D22" i="3" s="1"/>
  <c r="C22" i="3" a="1"/>
  <c r="C22" i="3" s="1"/>
  <c r="B22" i="3" a="1"/>
  <c r="B22" i="3" s="1"/>
  <c r="A22" i="3" a="1"/>
  <c r="A22" i="3" s="1"/>
  <c r="E21" i="3" a="1"/>
  <c r="E21" i="3" s="1"/>
  <c r="D21" i="3" a="1"/>
  <c r="D21" i="3" s="1"/>
  <c r="C21" i="3" a="1"/>
  <c r="C21" i="3" s="1"/>
  <c r="B21" i="3" a="1"/>
  <c r="B21" i="3" s="1"/>
  <c r="A21" i="3" a="1"/>
  <c r="A21" i="3" s="1"/>
  <c r="E20" i="3" a="1"/>
  <c r="E20" i="3" s="1"/>
  <c r="D20" i="3" a="1"/>
  <c r="D20" i="3" s="1"/>
  <c r="C20" i="3" a="1"/>
  <c r="C20" i="3" s="1"/>
  <c r="B20" i="3" a="1"/>
  <c r="B20" i="3" s="1"/>
  <c r="A20" i="3" a="1"/>
  <c r="A20" i="3" s="1"/>
  <c r="E19" i="3" a="1"/>
  <c r="E19" i="3" s="1"/>
  <c r="D19" i="3" a="1"/>
  <c r="D19" i="3" s="1"/>
  <c r="C19" i="3" a="1"/>
  <c r="C19" i="3" s="1"/>
  <c r="B19" i="3" a="1"/>
  <c r="B19" i="3" s="1"/>
  <c r="A19" i="3" a="1"/>
  <c r="A19" i="3" s="1"/>
  <c r="E18" i="3" a="1"/>
  <c r="E18" i="3" s="1"/>
  <c r="D18" i="3" a="1"/>
  <c r="D18" i="3" s="1"/>
  <c r="C18" i="3" a="1"/>
  <c r="C18" i="3" s="1"/>
  <c r="B18" i="3" a="1"/>
  <c r="B18" i="3" s="1"/>
  <c r="A18" i="3" a="1"/>
  <c r="A18" i="3" s="1"/>
  <c r="E17" i="3" a="1"/>
  <c r="E17" i="3" s="1"/>
  <c r="D17" i="3" a="1"/>
  <c r="D17" i="3" s="1"/>
  <c r="C17" i="3" a="1"/>
  <c r="C17" i="3" s="1"/>
  <c r="B17" i="3" a="1"/>
  <c r="B17" i="3" s="1"/>
  <c r="A17" i="3" a="1"/>
  <c r="A17" i="3" s="1"/>
  <c r="E16" i="3" a="1"/>
  <c r="E16" i="3" s="1"/>
  <c r="D16" i="3" a="1"/>
  <c r="D16" i="3" s="1"/>
  <c r="C16" i="3" a="1"/>
  <c r="C16" i="3" s="1"/>
  <c r="B16" i="3" a="1"/>
  <c r="B16" i="3" s="1"/>
  <c r="A16" i="3" a="1"/>
  <c r="A16" i="3" s="1"/>
  <c r="E15" i="3" a="1"/>
  <c r="E15" i="3" s="1"/>
  <c r="D15" i="3" a="1"/>
  <c r="D15" i="3" s="1"/>
  <c r="C15" i="3" a="1"/>
  <c r="C15" i="3" s="1"/>
  <c r="B15" i="3" a="1"/>
  <c r="B15" i="3" s="1"/>
  <c r="A15" i="3" a="1"/>
  <c r="A15" i="3" s="1"/>
  <c r="C53" i="2" a="1"/>
  <c r="C53" i="2" s="1"/>
  <c r="C52" i="2" a="1"/>
  <c r="C52" i="2" s="1"/>
  <c r="C51" i="2" a="1"/>
  <c r="C51" i="2" s="1"/>
  <c r="C50" i="2" a="1"/>
  <c r="C50" i="2" s="1"/>
  <c r="C49" i="2" a="1"/>
  <c r="C49" i="2" s="1"/>
  <c r="A35" i="2" a="1"/>
  <c r="A35" i="2" s="1"/>
  <c r="A34" i="2" a="1"/>
  <c r="A34" i="2" s="1"/>
  <c r="A33" i="2" a="1"/>
  <c r="A33" i="2" s="1"/>
  <c r="A32" i="2" a="1"/>
  <c r="A32" i="2" s="1"/>
  <c r="A31" i="2" a="1"/>
  <c r="A31" i="2" s="1"/>
  <c r="A30" i="2" a="1"/>
  <c r="A30" i="2" s="1"/>
  <c r="A29" i="2" a="1"/>
  <c r="A29" i="2" s="1"/>
  <c r="H31" i="8"/>
  <c r="H32" i="8"/>
  <c r="H33" i="8"/>
  <c r="H34" i="8"/>
  <c r="H35" i="8"/>
  <c r="H30" i="8"/>
  <c r="H31" i="7"/>
  <c r="H32" i="7"/>
  <c r="H33" i="7"/>
  <c r="H34" i="7"/>
  <c r="H35" i="7"/>
  <c r="H30" i="7"/>
  <c r="H31" i="6"/>
  <c r="H32" i="6"/>
  <c r="H33" i="6"/>
  <c r="H34" i="6"/>
  <c r="H35" i="6"/>
  <c r="H30" i="6"/>
  <c r="H31" i="5"/>
  <c r="H32" i="5"/>
  <c r="H33" i="5"/>
  <c r="H34" i="5"/>
  <c r="H35" i="5"/>
  <c r="H30" i="5"/>
  <c r="H31" i="4"/>
  <c r="H32" i="4"/>
  <c r="H33" i="4"/>
  <c r="H34" i="4"/>
  <c r="H35" i="4"/>
  <c r="H30" i="4"/>
  <c r="H31" i="3"/>
  <c r="H32" i="3"/>
  <c r="H33" i="3"/>
  <c r="H34" i="3"/>
  <c r="H35" i="3"/>
  <c r="H30" i="3"/>
  <c r="H31" i="2"/>
  <c r="H32" i="2"/>
  <c r="H33" i="2"/>
  <c r="H34" i="2"/>
  <c r="H35" i="2"/>
  <c r="H30" i="2"/>
  <c r="C2" i="8" l="1"/>
  <c r="D2" i="8"/>
  <c r="E2" i="8"/>
  <c r="F2" i="8"/>
  <c r="G2" i="8"/>
  <c r="H2" i="8"/>
  <c r="C3" i="8"/>
  <c r="D3" i="8"/>
  <c r="E3" i="8"/>
  <c r="F3" i="8"/>
  <c r="G3" i="8"/>
  <c r="H3" i="8"/>
  <c r="C4" i="8"/>
  <c r="D4" i="8"/>
  <c r="E4" i="8"/>
  <c r="F4" i="8"/>
  <c r="G4" i="8"/>
  <c r="H4" i="8"/>
  <c r="C5" i="8"/>
  <c r="D5" i="8"/>
  <c r="E5" i="8"/>
  <c r="F5" i="8"/>
  <c r="G5" i="8"/>
  <c r="H5" i="8"/>
  <c r="C6" i="8"/>
  <c r="D6" i="8"/>
  <c r="E6" i="8"/>
  <c r="F6" i="8"/>
  <c r="G6" i="8"/>
  <c r="H6" i="8"/>
  <c r="C7" i="8"/>
  <c r="D7" i="8"/>
  <c r="E7" i="8"/>
  <c r="F7" i="8"/>
  <c r="G7" i="8"/>
  <c r="H7" i="8"/>
  <c r="C8" i="8"/>
  <c r="D8" i="8"/>
  <c r="E8" i="8"/>
  <c r="F8" i="8"/>
  <c r="G8" i="8"/>
  <c r="H8" i="8"/>
  <c r="C9" i="8"/>
  <c r="D9" i="8"/>
  <c r="E9" i="8"/>
  <c r="F9" i="8"/>
  <c r="G9" i="8"/>
  <c r="H9" i="8"/>
  <c r="C10" i="8"/>
  <c r="D10" i="8"/>
  <c r="E10" i="8"/>
  <c r="F10" i="8"/>
  <c r="G10" i="8"/>
  <c r="H10" i="8"/>
  <c r="C11" i="8"/>
  <c r="D11" i="8"/>
  <c r="E11" i="8"/>
  <c r="F11" i="8"/>
  <c r="G11" i="8"/>
  <c r="H11" i="8"/>
  <c r="C12" i="8"/>
  <c r="D12" i="8"/>
  <c r="E12" i="8"/>
  <c r="F12" i="8"/>
  <c r="G12" i="8"/>
  <c r="H12" i="8"/>
  <c r="C13" i="8"/>
  <c r="D13" i="8"/>
  <c r="E13" i="8"/>
  <c r="F13" i="8"/>
  <c r="G13" i="8"/>
  <c r="H13" i="8"/>
  <c r="B3" i="8"/>
  <c r="B4" i="8"/>
  <c r="B5" i="8"/>
  <c r="B6" i="8"/>
  <c r="B7" i="8"/>
  <c r="B8" i="8"/>
  <c r="B9" i="8"/>
  <c r="B10" i="8"/>
  <c r="B11" i="8"/>
  <c r="B12" i="8"/>
  <c r="B13" i="8"/>
  <c r="B2" i="8"/>
  <c r="C2" i="7"/>
  <c r="D2" i="7"/>
  <c r="E2" i="7"/>
  <c r="F2" i="7"/>
  <c r="G2" i="7"/>
  <c r="H2" i="7"/>
  <c r="C3" i="7"/>
  <c r="D3" i="7"/>
  <c r="E3" i="7"/>
  <c r="F3" i="7"/>
  <c r="G3" i="7"/>
  <c r="H3" i="7"/>
  <c r="C4" i="7"/>
  <c r="D4" i="7"/>
  <c r="E4" i="7"/>
  <c r="F4" i="7"/>
  <c r="G4" i="7"/>
  <c r="H4" i="7"/>
  <c r="C5" i="7"/>
  <c r="D5" i="7"/>
  <c r="E5" i="7"/>
  <c r="F5" i="7"/>
  <c r="G5" i="7"/>
  <c r="H5" i="7"/>
  <c r="C6" i="7"/>
  <c r="D6" i="7"/>
  <c r="E6" i="7"/>
  <c r="F6" i="7"/>
  <c r="G6" i="7"/>
  <c r="H6" i="7"/>
  <c r="C7" i="7"/>
  <c r="D7" i="7"/>
  <c r="E7" i="7"/>
  <c r="F7" i="7"/>
  <c r="G7" i="7"/>
  <c r="H7" i="7"/>
  <c r="C8" i="7"/>
  <c r="D8" i="7"/>
  <c r="E8" i="7"/>
  <c r="F8" i="7"/>
  <c r="G8" i="7"/>
  <c r="H8" i="7"/>
  <c r="C9" i="7"/>
  <c r="D9" i="7"/>
  <c r="E9" i="7"/>
  <c r="F9" i="7"/>
  <c r="G9" i="7"/>
  <c r="H9" i="7"/>
  <c r="C10" i="7"/>
  <c r="D10" i="7"/>
  <c r="E10" i="7"/>
  <c r="F10" i="7"/>
  <c r="G10" i="7"/>
  <c r="H10" i="7"/>
  <c r="C11" i="7"/>
  <c r="D11" i="7"/>
  <c r="E11" i="7"/>
  <c r="F11" i="7"/>
  <c r="G11" i="7"/>
  <c r="H11" i="7"/>
  <c r="C12" i="7"/>
  <c r="D12" i="7"/>
  <c r="E12" i="7"/>
  <c r="F12" i="7"/>
  <c r="G12" i="7"/>
  <c r="H12" i="7"/>
  <c r="C13" i="7"/>
  <c r="D13" i="7"/>
  <c r="E13" i="7"/>
  <c r="F13" i="7"/>
  <c r="G13" i="7"/>
  <c r="H13" i="7"/>
  <c r="B3" i="7"/>
  <c r="B4" i="7"/>
  <c r="B5" i="7"/>
  <c r="B6" i="7"/>
  <c r="B7" i="7"/>
  <c r="B8" i="7"/>
  <c r="B9" i="7"/>
  <c r="B10" i="7"/>
  <c r="B11" i="7"/>
  <c r="B12" i="7"/>
  <c r="B13" i="7"/>
  <c r="B2" i="7"/>
  <c r="C2" i="6"/>
  <c r="D2" i="6"/>
  <c r="E2" i="6"/>
  <c r="F2" i="6"/>
  <c r="G2" i="6"/>
  <c r="H2" i="6"/>
  <c r="C3" i="6"/>
  <c r="D3" i="6"/>
  <c r="E3" i="6"/>
  <c r="F3" i="6"/>
  <c r="G3" i="6"/>
  <c r="H3" i="6"/>
  <c r="C4" i="6"/>
  <c r="D4" i="6"/>
  <c r="E4" i="6"/>
  <c r="F4" i="6"/>
  <c r="G4" i="6"/>
  <c r="H4" i="6"/>
  <c r="C5" i="6"/>
  <c r="D5" i="6"/>
  <c r="E5" i="6"/>
  <c r="F5" i="6"/>
  <c r="G5" i="6"/>
  <c r="H5" i="6"/>
  <c r="C6" i="6"/>
  <c r="D6" i="6"/>
  <c r="E6" i="6"/>
  <c r="F6" i="6"/>
  <c r="G6" i="6"/>
  <c r="H6" i="6"/>
  <c r="C7" i="6"/>
  <c r="D7" i="6"/>
  <c r="E7" i="6"/>
  <c r="F7" i="6"/>
  <c r="G7" i="6"/>
  <c r="H7" i="6"/>
  <c r="C8" i="6"/>
  <c r="D8" i="6"/>
  <c r="E8" i="6"/>
  <c r="F8" i="6"/>
  <c r="G8" i="6"/>
  <c r="H8" i="6"/>
  <c r="C9" i="6"/>
  <c r="D9" i="6"/>
  <c r="E9" i="6"/>
  <c r="F9" i="6"/>
  <c r="G9" i="6"/>
  <c r="H9" i="6"/>
  <c r="C10" i="6"/>
  <c r="D10" i="6"/>
  <c r="E10" i="6"/>
  <c r="F10" i="6"/>
  <c r="G10" i="6"/>
  <c r="H10" i="6"/>
  <c r="C11" i="6"/>
  <c r="D11" i="6"/>
  <c r="E11" i="6"/>
  <c r="F11" i="6"/>
  <c r="G11" i="6"/>
  <c r="H11" i="6"/>
  <c r="C12" i="6"/>
  <c r="D12" i="6"/>
  <c r="E12" i="6"/>
  <c r="F12" i="6"/>
  <c r="G12" i="6"/>
  <c r="H12" i="6"/>
  <c r="C13" i="6"/>
  <c r="D13" i="6"/>
  <c r="E13" i="6"/>
  <c r="F13" i="6"/>
  <c r="G13" i="6"/>
  <c r="H13" i="6"/>
  <c r="B3" i="6"/>
  <c r="B4" i="6"/>
  <c r="B5" i="6"/>
  <c r="B6" i="6"/>
  <c r="B7" i="6"/>
  <c r="B8" i="6"/>
  <c r="B9" i="6"/>
  <c r="B10" i="6"/>
  <c r="B11" i="6"/>
  <c r="B12" i="6"/>
  <c r="B13" i="6"/>
  <c r="B2" i="6"/>
  <c r="B3" i="5"/>
  <c r="C3" i="5"/>
  <c r="D3" i="5"/>
  <c r="E3" i="5"/>
  <c r="F3" i="5"/>
  <c r="G3" i="5"/>
  <c r="H3" i="5"/>
  <c r="B4" i="5"/>
  <c r="C4" i="5"/>
  <c r="D4" i="5"/>
  <c r="E4" i="5"/>
  <c r="F4" i="5"/>
  <c r="G4" i="5"/>
  <c r="H4" i="5"/>
  <c r="B5" i="5"/>
  <c r="C5" i="5"/>
  <c r="D5" i="5"/>
  <c r="E5" i="5"/>
  <c r="F5" i="5"/>
  <c r="G5" i="5"/>
  <c r="H5" i="5"/>
  <c r="B6" i="5"/>
  <c r="C6" i="5"/>
  <c r="D6" i="5"/>
  <c r="E6" i="5"/>
  <c r="F6" i="5"/>
  <c r="G6" i="5"/>
  <c r="H6" i="5"/>
  <c r="B7" i="5"/>
  <c r="C7" i="5"/>
  <c r="D7" i="5"/>
  <c r="E7" i="5"/>
  <c r="F7" i="5"/>
  <c r="G7" i="5"/>
  <c r="H7" i="5"/>
  <c r="B8" i="5"/>
  <c r="C8" i="5"/>
  <c r="D8" i="5"/>
  <c r="E8" i="5"/>
  <c r="F8" i="5"/>
  <c r="G8" i="5"/>
  <c r="H8" i="5"/>
  <c r="B9" i="5"/>
  <c r="C9" i="5"/>
  <c r="D9" i="5"/>
  <c r="E9" i="5"/>
  <c r="F9" i="5"/>
  <c r="G9" i="5"/>
  <c r="H9" i="5"/>
  <c r="B10" i="5"/>
  <c r="C10" i="5"/>
  <c r="D10" i="5"/>
  <c r="E10" i="5"/>
  <c r="F10" i="5"/>
  <c r="G10" i="5"/>
  <c r="H10" i="5"/>
  <c r="B11" i="5"/>
  <c r="C11" i="5"/>
  <c r="D11" i="5"/>
  <c r="E11" i="5"/>
  <c r="F11" i="5"/>
  <c r="G11" i="5"/>
  <c r="H11" i="5"/>
  <c r="B12" i="5"/>
  <c r="C12" i="5"/>
  <c r="D12" i="5"/>
  <c r="E12" i="5"/>
  <c r="F12" i="5"/>
  <c r="G12" i="5"/>
  <c r="H12" i="5"/>
  <c r="B13" i="5"/>
  <c r="C13" i="5"/>
  <c r="D13" i="5"/>
  <c r="E13" i="5"/>
  <c r="F13" i="5"/>
  <c r="G13" i="5"/>
  <c r="H13" i="5"/>
  <c r="C2" i="5"/>
  <c r="D2" i="5"/>
  <c r="E2" i="5"/>
  <c r="F2" i="5"/>
  <c r="G2" i="5"/>
  <c r="H2" i="5"/>
  <c r="B2" i="5"/>
  <c r="C2" i="4"/>
  <c r="D2" i="4"/>
  <c r="E2" i="4"/>
  <c r="F2" i="4"/>
  <c r="G2" i="4"/>
  <c r="H2" i="4"/>
  <c r="C3" i="4"/>
  <c r="D3" i="4"/>
  <c r="E3" i="4"/>
  <c r="F3" i="4"/>
  <c r="G3" i="4"/>
  <c r="H3" i="4"/>
  <c r="C4" i="4"/>
  <c r="D4" i="4"/>
  <c r="E4" i="4"/>
  <c r="F4" i="4"/>
  <c r="G4" i="4"/>
  <c r="H4" i="4"/>
  <c r="C5" i="4"/>
  <c r="D5" i="4"/>
  <c r="E5" i="4"/>
  <c r="F5" i="4"/>
  <c r="G5" i="4"/>
  <c r="H5" i="4"/>
  <c r="C6" i="4"/>
  <c r="D6" i="4"/>
  <c r="E6" i="4"/>
  <c r="F6" i="4"/>
  <c r="G6" i="4"/>
  <c r="H6" i="4"/>
  <c r="C7" i="4"/>
  <c r="D7" i="4"/>
  <c r="E7" i="4"/>
  <c r="F7" i="4"/>
  <c r="G7" i="4"/>
  <c r="H7" i="4"/>
  <c r="C8" i="4"/>
  <c r="D8" i="4"/>
  <c r="E8" i="4"/>
  <c r="F8" i="4"/>
  <c r="G8" i="4"/>
  <c r="H8" i="4"/>
  <c r="C9" i="4"/>
  <c r="D9" i="4"/>
  <c r="E9" i="4"/>
  <c r="F9" i="4"/>
  <c r="G9" i="4"/>
  <c r="H9" i="4"/>
  <c r="C10" i="4"/>
  <c r="D10" i="4"/>
  <c r="E10" i="4"/>
  <c r="F10" i="4"/>
  <c r="G10" i="4"/>
  <c r="H10" i="4"/>
  <c r="C11" i="4"/>
  <c r="D11" i="4"/>
  <c r="E11" i="4"/>
  <c r="F11" i="4"/>
  <c r="G11" i="4"/>
  <c r="H11" i="4"/>
  <c r="C12" i="4"/>
  <c r="D12" i="4"/>
  <c r="E12" i="4"/>
  <c r="F12" i="4"/>
  <c r="G12" i="4"/>
  <c r="H12" i="4"/>
  <c r="C13" i="4"/>
  <c r="D13" i="4"/>
  <c r="E13" i="4"/>
  <c r="F13" i="4"/>
  <c r="G13" i="4"/>
  <c r="H13" i="4"/>
  <c r="B3" i="4"/>
  <c r="B4" i="4"/>
  <c r="B5" i="4"/>
  <c r="B6" i="4"/>
  <c r="B7" i="4"/>
  <c r="B8" i="4"/>
  <c r="B9" i="4"/>
  <c r="B10" i="4"/>
  <c r="B11" i="4"/>
  <c r="B12" i="4"/>
  <c r="B13" i="4"/>
  <c r="B2" i="4"/>
  <c r="B3" i="3"/>
  <c r="C3" i="3"/>
  <c r="D3" i="3"/>
  <c r="E3" i="3"/>
  <c r="F3" i="3"/>
  <c r="G3" i="3"/>
  <c r="H3" i="3"/>
  <c r="B4" i="3"/>
  <c r="C4" i="3"/>
  <c r="D4" i="3"/>
  <c r="E4" i="3"/>
  <c r="F4" i="3"/>
  <c r="G4" i="3"/>
  <c r="H4" i="3"/>
  <c r="B5" i="3"/>
  <c r="C5" i="3"/>
  <c r="D5" i="3"/>
  <c r="E5" i="3"/>
  <c r="F5" i="3"/>
  <c r="G5" i="3"/>
  <c r="H5" i="3"/>
  <c r="B6" i="3"/>
  <c r="C6" i="3"/>
  <c r="D6" i="3"/>
  <c r="E6" i="3"/>
  <c r="F6" i="3"/>
  <c r="G6" i="3"/>
  <c r="H6" i="3"/>
  <c r="B7" i="3"/>
  <c r="C7" i="3"/>
  <c r="D7" i="3"/>
  <c r="E7" i="3"/>
  <c r="F7" i="3"/>
  <c r="G7" i="3"/>
  <c r="H7" i="3"/>
  <c r="B8" i="3"/>
  <c r="C8" i="3"/>
  <c r="D8" i="3"/>
  <c r="E8" i="3"/>
  <c r="F8" i="3"/>
  <c r="G8" i="3"/>
  <c r="H8" i="3"/>
  <c r="B9" i="3"/>
  <c r="C9" i="3"/>
  <c r="D9" i="3"/>
  <c r="E9" i="3"/>
  <c r="F9" i="3"/>
  <c r="G9" i="3"/>
  <c r="H9" i="3"/>
  <c r="B10" i="3"/>
  <c r="C10" i="3"/>
  <c r="D10" i="3"/>
  <c r="E10" i="3"/>
  <c r="F10" i="3"/>
  <c r="G10" i="3"/>
  <c r="H10" i="3"/>
  <c r="B11" i="3"/>
  <c r="C11" i="3"/>
  <c r="D11" i="3"/>
  <c r="E11" i="3"/>
  <c r="F11" i="3"/>
  <c r="G11" i="3"/>
  <c r="H11" i="3"/>
  <c r="B12" i="3"/>
  <c r="C12" i="3"/>
  <c r="D12" i="3"/>
  <c r="E12" i="3"/>
  <c r="F12" i="3"/>
  <c r="G12" i="3"/>
  <c r="H12" i="3"/>
  <c r="B13" i="3"/>
  <c r="C13" i="3"/>
  <c r="D13" i="3"/>
  <c r="E13" i="3"/>
  <c r="F13" i="3"/>
  <c r="G13" i="3"/>
  <c r="H13" i="3"/>
  <c r="C2" i="3"/>
  <c r="D2" i="3"/>
  <c r="E2" i="3"/>
  <c r="F2" i="3"/>
  <c r="G2" i="3"/>
  <c r="H2" i="3"/>
  <c r="B2" i="3"/>
  <c r="B3" i="2"/>
  <c r="C3" i="2"/>
  <c r="D3" i="2"/>
  <c r="E3" i="2"/>
  <c r="F3" i="2"/>
  <c r="G3" i="2"/>
  <c r="H3" i="2"/>
  <c r="B4" i="2"/>
  <c r="C4" i="2"/>
  <c r="D4" i="2"/>
  <c r="E4" i="2"/>
  <c r="F4" i="2"/>
  <c r="G4" i="2"/>
  <c r="H4" i="2"/>
  <c r="B5" i="2"/>
  <c r="C5" i="2"/>
  <c r="D5" i="2"/>
  <c r="E5" i="2"/>
  <c r="F5" i="2"/>
  <c r="G5" i="2"/>
  <c r="H5" i="2"/>
  <c r="B6" i="2"/>
  <c r="C6" i="2"/>
  <c r="D6" i="2"/>
  <c r="E6" i="2"/>
  <c r="F6" i="2"/>
  <c r="G6" i="2"/>
  <c r="H6" i="2"/>
  <c r="B7" i="2"/>
  <c r="C7" i="2"/>
  <c r="D7" i="2"/>
  <c r="E7" i="2"/>
  <c r="F7" i="2"/>
  <c r="G7" i="2"/>
  <c r="H7" i="2"/>
  <c r="B8" i="2"/>
  <c r="C8" i="2"/>
  <c r="D8" i="2"/>
  <c r="E8" i="2"/>
  <c r="F8" i="2"/>
  <c r="G8" i="2"/>
  <c r="H8" i="2"/>
  <c r="B9" i="2"/>
  <c r="C9" i="2"/>
  <c r="D9" i="2"/>
  <c r="E9" i="2"/>
  <c r="F9" i="2"/>
  <c r="G9" i="2"/>
  <c r="H9" i="2"/>
  <c r="B10" i="2"/>
  <c r="C10" i="2"/>
  <c r="D10" i="2"/>
  <c r="E10" i="2"/>
  <c r="F10" i="2"/>
  <c r="G10" i="2"/>
  <c r="H10" i="2"/>
  <c r="B11" i="2"/>
  <c r="C11" i="2"/>
  <c r="D11" i="2"/>
  <c r="E11" i="2"/>
  <c r="F11" i="2"/>
  <c r="G11" i="2"/>
  <c r="H11" i="2"/>
  <c r="B12" i="2"/>
  <c r="C12" i="2"/>
  <c r="D12" i="2"/>
  <c r="E12" i="2"/>
  <c r="F12" i="2"/>
  <c r="G12" i="2"/>
  <c r="H12" i="2"/>
  <c r="B13" i="2"/>
  <c r="C13" i="2"/>
  <c r="D13" i="2"/>
  <c r="E13" i="2"/>
  <c r="F13" i="2"/>
  <c r="G13" i="2"/>
  <c r="H13" i="2"/>
  <c r="C2" i="2"/>
  <c r="D2" i="2"/>
  <c r="E2" i="2"/>
  <c r="F2" i="2"/>
  <c r="G2" i="2"/>
  <c r="H2" i="2"/>
  <c r="B2" i="2"/>
  <c r="B52" i="2" a="1"/>
  <c r="B52" i="2" s="1"/>
  <c r="B51" i="2" a="1"/>
  <c r="B51" i="2" s="1"/>
  <c r="B50" i="2" a="1"/>
  <c r="B50" i="2" s="1"/>
  <c r="A50" i="2" a="1"/>
  <c r="A50" i="2" s="1"/>
  <c r="A49" i="2" a="1"/>
  <c r="A49" i="2" s="1"/>
  <c r="A48" i="2" a="1"/>
  <c r="A48" i="2" s="1"/>
  <c r="A47" i="2" a="1"/>
  <c r="A47" i="2" s="1"/>
  <c r="A46" i="2" a="1"/>
  <c r="A46" i="2" s="1"/>
  <c r="B49" i="2" a="1"/>
  <c r="B49" i="2" s="1"/>
  <c r="C48" i="2" a="1"/>
  <c r="C48" i="2" s="1"/>
  <c r="B48" i="2" a="1"/>
  <c r="B48" i="2" s="1"/>
  <c r="C47" i="2" a="1"/>
  <c r="C47" i="2" s="1"/>
  <c r="B47" i="2" a="1"/>
  <c r="B47" i="2" s="1"/>
  <c r="D46" i="2" a="1"/>
  <c r="D46" i="2" s="1"/>
  <c r="C46" i="2" a="1"/>
  <c r="C46" i="2" s="1"/>
  <c r="B46" i="2" a="1"/>
  <c r="B46" i="2" s="1"/>
  <c r="D45" i="2" a="1"/>
  <c r="D45" i="2" s="1"/>
  <c r="C45" i="2" a="1"/>
  <c r="C45" i="2" s="1"/>
  <c r="B45" i="2" a="1"/>
  <c r="B45" i="2" s="1"/>
  <c r="D44" i="2" a="1"/>
  <c r="D44" i="2" s="1"/>
  <c r="C44" i="2" a="1"/>
  <c r="C44" i="2" s="1"/>
  <c r="B44" i="2" a="1"/>
  <c r="B44" i="2" s="1"/>
  <c r="D43" i="2" a="1"/>
  <c r="D43" i="2" s="1"/>
  <c r="C43" i="2" a="1"/>
  <c r="C43" i="2" s="1"/>
  <c r="B43" i="2" a="1"/>
  <c r="B43" i="2" s="1"/>
  <c r="D42" i="2" a="1"/>
  <c r="D42" i="2" s="1"/>
  <c r="C42" i="2" a="1"/>
  <c r="C42" i="2" s="1"/>
  <c r="B42" i="2" a="1"/>
  <c r="B42" i="2" s="1"/>
  <c r="D41" i="2" a="1"/>
  <c r="D41" i="2" s="1"/>
  <c r="C41" i="2" a="1"/>
  <c r="C41" i="2" s="1"/>
  <c r="B41" i="2" a="1"/>
  <c r="B41" i="2" s="1"/>
  <c r="D40" i="2" a="1"/>
  <c r="D40" i="2" s="1"/>
  <c r="C40" i="2" a="1"/>
  <c r="C40" i="2" s="1"/>
  <c r="B40" i="2" a="1"/>
  <c r="B40" i="2" s="1"/>
  <c r="D39" i="2" a="1"/>
  <c r="D39" i="2" s="1"/>
  <c r="C39" i="2" a="1"/>
  <c r="C39" i="2" s="1"/>
  <c r="B39" i="2" a="1"/>
  <c r="B39" i="2" s="1"/>
  <c r="E38" i="2" a="1"/>
  <c r="E38" i="2" s="1"/>
  <c r="D38" i="2" a="1"/>
  <c r="D38" i="2" s="1"/>
  <c r="C38" i="2" a="1"/>
  <c r="C38" i="2" s="1"/>
  <c r="B38" i="2" a="1"/>
  <c r="B38" i="2" s="1"/>
  <c r="E37" i="2" a="1"/>
  <c r="E37" i="2" s="1"/>
  <c r="D37" i="2" a="1"/>
  <c r="D37" i="2" s="1"/>
  <c r="C37" i="2" a="1"/>
  <c r="C37" i="2" s="1"/>
  <c r="B37" i="2" a="1"/>
  <c r="B37" i="2" s="1"/>
  <c r="E36" i="2" a="1"/>
  <c r="E36" i="2" s="1"/>
  <c r="D36" i="2" a="1"/>
  <c r="D36" i="2" s="1"/>
  <c r="B36" i="2" a="1"/>
  <c r="B36" i="2" s="1"/>
  <c r="E35" i="2" a="1"/>
  <c r="E35" i="2" s="1"/>
  <c r="D35" i="2" a="1"/>
  <c r="D35" i="2" s="1"/>
  <c r="B35" i="2" a="1"/>
  <c r="B35" i="2" s="1"/>
  <c r="E34" i="2" a="1"/>
  <c r="E34" i="2" s="1"/>
  <c r="D34" i="2" a="1"/>
  <c r="D34" i="2" s="1"/>
  <c r="B34" i="2" a="1"/>
  <c r="B34" i="2" s="1"/>
  <c r="E33" i="2" a="1"/>
  <c r="E33" i="2" s="1"/>
  <c r="D33" i="2" a="1"/>
  <c r="D33" i="2" s="1"/>
  <c r="B33" i="2" a="1"/>
  <c r="B33" i="2" s="1"/>
  <c r="E32" i="2" a="1"/>
  <c r="E32" i="2" s="1"/>
  <c r="D32" i="2" a="1"/>
  <c r="D32" i="2" s="1"/>
  <c r="B32" i="2" a="1"/>
  <c r="B32" i="2" s="1"/>
  <c r="E31" i="2" a="1"/>
  <c r="E31" i="2" s="1"/>
  <c r="D31" i="2" a="1"/>
  <c r="D31" i="2" s="1"/>
  <c r="B31" i="2" a="1"/>
  <c r="B31" i="2" s="1"/>
  <c r="E30" i="2" a="1"/>
  <c r="E30" i="2" s="1"/>
  <c r="D30" i="2" a="1"/>
  <c r="D30" i="2" s="1"/>
  <c r="B30" i="2" a="1"/>
  <c r="B30" i="2" s="1"/>
  <c r="E29" i="2" a="1"/>
  <c r="E29" i="2" s="1"/>
  <c r="D29" i="2" a="1"/>
  <c r="D29" i="2" s="1"/>
  <c r="C29" i="2" a="1"/>
  <c r="C29" i="2" s="1"/>
  <c r="B29" i="2" a="1"/>
  <c r="B29" i="2" s="1"/>
  <c r="E28" i="2" a="1"/>
  <c r="E28" i="2" s="1"/>
  <c r="D28" i="2" a="1"/>
  <c r="D28" i="2" s="1"/>
  <c r="C28" i="2" a="1"/>
  <c r="C28" i="2" s="1"/>
  <c r="B28" i="2" a="1"/>
  <c r="B28" i="2" s="1"/>
  <c r="A28" i="2" a="1"/>
  <c r="A28" i="2" s="1"/>
  <c r="E27" i="2" a="1"/>
  <c r="E27" i="2" s="1"/>
  <c r="D27" i="2" a="1"/>
  <c r="D27" i="2" s="1"/>
  <c r="C27" i="2" a="1"/>
  <c r="C27" i="2" s="1"/>
  <c r="B27" i="2" a="1"/>
  <c r="B27" i="2" s="1"/>
  <c r="A27" i="2" a="1"/>
  <c r="A27" i="2" s="1"/>
  <c r="E26" i="2" a="1"/>
  <c r="E26" i="2" s="1"/>
  <c r="D26" i="2" a="1"/>
  <c r="D26" i="2" s="1"/>
  <c r="C26" i="2" a="1"/>
  <c r="C26" i="2" s="1"/>
  <c r="B26" i="2" a="1"/>
  <c r="B26" i="2" s="1"/>
  <c r="A26" i="2" a="1"/>
  <c r="A26" i="2" s="1"/>
  <c r="E25" i="2" a="1"/>
  <c r="E25" i="2" s="1"/>
  <c r="D25" i="2" a="1"/>
  <c r="D25" i="2" s="1"/>
  <c r="C25" i="2" a="1"/>
  <c r="C25" i="2" s="1"/>
  <c r="B25" i="2" a="1"/>
  <c r="B25" i="2" s="1"/>
  <c r="A25" i="2" a="1"/>
  <c r="A25" i="2" s="1"/>
  <c r="E24" i="2" a="1"/>
  <c r="E24" i="2" s="1"/>
  <c r="D24" i="2" a="1"/>
  <c r="D24" i="2" s="1"/>
  <c r="C24" i="2" a="1"/>
  <c r="C24" i="2" s="1"/>
  <c r="B24" i="2" a="1"/>
  <c r="B24" i="2" s="1"/>
  <c r="A24" i="2" a="1"/>
  <c r="A24" i="2" s="1"/>
  <c r="E23" i="2" a="1"/>
  <c r="E23" i="2" s="1"/>
  <c r="D23" i="2" a="1"/>
  <c r="D23" i="2" s="1"/>
  <c r="C23" i="2" a="1"/>
  <c r="C23" i="2" s="1"/>
  <c r="B23" i="2" a="1"/>
  <c r="B23" i="2" s="1"/>
  <c r="A23" i="2" a="1"/>
  <c r="A23" i="2" s="1"/>
  <c r="E22" i="2" a="1"/>
  <c r="E22" i="2" s="1"/>
  <c r="D22" i="2" a="1"/>
  <c r="D22" i="2" s="1"/>
  <c r="C22" i="2" a="1"/>
  <c r="C22" i="2" s="1"/>
  <c r="B22" i="2" a="1"/>
  <c r="B22" i="2" s="1"/>
  <c r="A22" i="2" a="1"/>
  <c r="A22" i="2" s="1"/>
  <c r="E21" i="2" a="1"/>
  <c r="E21" i="2" s="1"/>
  <c r="D21" i="2" a="1"/>
  <c r="D21" i="2" s="1"/>
  <c r="C21" i="2" a="1"/>
  <c r="C21" i="2" s="1"/>
  <c r="B21" i="2" a="1"/>
  <c r="B21" i="2" s="1"/>
  <c r="A21" i="2" a="1"/>
  <c r="A21" i="2" s="1"/>
  <c r="E20" i="2" a="1"/>
  <c r="E20" i="2" s="1"/>
  <c r="D20" i="2" a="1"/>
  <c r="D20" i="2" s="1"/>
  <c r="C20" i="2" a="1"/>
  <c r="C20" i="2" s="1"/>
  <c r="B20" i="2" a="1"/>
  <c r="B20" i="2" s="1"/>
  <c r="A20" i="2" a="1"/>
  <c r="A20" i="2" s="1"/>
  <c r="E19" i="2" a="1"/>
  <c r="E19" i="2" s="1"/>
  <c r="D19" i="2" a="1"/>
  <c r="D19" i="2" s="1"/>
  <c r="C19" i="2" a="1"/>
  <c r="C19" i="2" s="1"/>
  <c r="B19" i="2" a="1"/>
  <c r="B19" i="2" s="1"/>
  <c r="A19" i="2" a="1"/>
  <c r="A19" i="2" s="1"/>
  <c r="E18" i="2" a="1"/>
  <c r="E18" i="2" s="1"/>
  <c r="D18" i="2" a="1"/>
  <c r="D18" i="2" s="1"/>
  <c r="C18" i="2" a="1"/>
  <c r="C18" i="2" s="1"/>
  <c r="B18" i="2" a="1"/>
  <c r="B18" i="2" s="1"/>
  <c r="A18" i="2" a="1"/>
  <c r="A18" i="2" s="1"/>
  <c r="E17" i="2" a="1"/>
  <c r="E17" i="2" s="1"/>
  <c r="D17" i="2" a="1"/>
  <c r="D17" i="2" s="1"/>
  <c r="C17" i="2" a="1"/>
  <c r="C17" i="2" s="1"/>
  <c r="B17" i="2" a="1"/>
  <c r="B17" i="2" s="1"/>
  <c r="A17" i="2" a="1"/>
  <c r="A17" i="2" s="1"/>
  <c r="E16" i="2" a="1"/>
  <c r="E16" i="2" s="1"/>
  <c r="D16" i="2" a="1"/>
  <c r="D16" i="2" s="1"/>
  <c r="C16" i="2" a="1"/>
  <c r="C16" i="2" s="1"/>
  <c r="B16" i="2" a="1"/>
  <c r="B16" i="2" s="1"/>
  <c r="A16" i="2" a="1"/>
  <c r="A16" i="2" s="1"/>
  <c r="E15" i="2" a="1"/>
  <c r="E15" i="2" s="1"/>
  <c r="D15" i="2" a="1"/>
  <c r="D15" i="2" s="1"/>
  <c r="C15" i="2" a="1"/>
  <c r="C15" i="2" s="1"/>
  <c r="B15" i="2" a="1"/>
  <c r="B15" i="2" s="1"/>
  <c r="A15" i="2" a="1"/>
  <c r="A1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<sst xmlns="http://schemas.openxmlformats.org/spreadsheetml/2006/main" count="1175" uniqueCount="210">
  <si>
    <t>Monday</t>
  </si>
  <si>
    <t>Tuesday</t>
  </si>
  <si>
    <t>CE</t>
  </si>
  <si>
    <t>SE</t>
  </si>
  <si>
    <t>NW</t>
  </si>
  <si>
    <t>MT</t>
  </si>
  <si>
    <t>UT</t>
  </si>
  <si>
    <t>0330-0530</t>
  </si>
  <si>
    <t>0530-0730</t>
  </si>
  <si>
    <t>0730-0930</t>
  </si>
  <si>
    <t>0930-1130</t>
  </si>
  <si>
    <t>1130-1330</t>
  </si>
  <si>
    <t>1330-1530</t>
  </si>
  <si>
    <t>1530-1730</t>
  </si>
  <si>
    <t>1730-1930</t>
  </si>
  <si>
    <t>1930-2130</t>
  </si>
  <si>
    <t>2130-2330</t>
  </si>
  <si>
    <t>2330-0130</t>
  </si>
  <si>
    <t>0130-0330</t>
  </si>
  <si>
    <t>E SHIFT</t>
  </si>
  <si>
    <t>A  SHIFT</t>
  </si>
  <si>
    <t>B SHIFT</t>
  </si>
  <si>
    <t>C SHIFT</t>
  </si>
  <si>
    <t>Tania Keller</t>
  </si>
  <si>
    <t>F SHIFT</t>
  </si>
  <si>
    <t>May Yen Yang</t>
  </si>
  <si>
    <t>Wednesday</t>
  </si>
  <si>
    <t>Cheri Smith</t>
  </si>
  <si>
    <t>Lorraine Flenory</t>
  </si>
  <si>
    <t>Norma Garvey</t>
  </si>
  <si>
    <t>Darlene Foell</t>
  </si>
  <si>
    <t>Monica Ramirez</t>
  </si>
  <si>
    <t>Lydia Valdez</t>
  </si>
  <si>
    <t>Sarah Ringer</t>
  </si>
  <si>
    <t xml:space="preserve">Tami Worden     </t>
  </si>
  <si>
    <t>Markey Blankenship</t>
  </si>
  <si>
    <t>Patty O’Grady</t>
  </si>
  <si>
    <t>D SHIFT</t>
  </si>
  <si>
    <t>Nozomi Vasquez</t>
  </si>
  <si>
    <t>Thursday</t>
  </si>
  <si>
    <t>Matt Sonderegger</t>
  </si>
  <si>
    <t>Suzette Schlundt</t>
  </si>
  <si>
    <t>Jodi Garland</t>
  </si>
  <si>
    <t>Zer Yang</t>
  </si>
  <si>
    <t>Allison Carter</t>
  </si>
  <si>
    <t>Susan Miller</t>
  </si>
  <si>
    <t>Friday</t>
  </si>
  <si>
    <t>Saturday</t>
  </si>
  <si>
    <t>Sunday</t>
  </si>
  <si>
    <t>Jessica Leatherwood</t>
  </si>
  <si>
    <t>Elexis Scott</t>
  </si>
  <si>
    <t>Nyia Vang</t>
  </si>
  <si>
    <t>Rebekah Isquierdo</t>
  </si>
  <si>
    <t>Maria Jones</t>
  </si>
  <si>
    <t>Kelly Wiens</t>
  </si>
  <si>
    <t>Lauren Lilly</t>
  </si>
  <si>
    <t>NE</t>
  </si>
  <si>
    <t>Melissa Joint</t>
  </si>
  <si>
    <t>Danielle Parre</t>
  </si>
  <si>
    <t>Bianca Hernandez</t>
  </si>
  <si>
    <t>Mathew Hackney</t>
  </si>
  <si>
    <t>Kyler Lorin</t>
  </si>
  <si>
    <t>Shadon Riahizadeh</t>
  </si>
  <si>
    <t>SW</t>
  </si>
  <si>
    <t xml:space="preserve">NE </t>
  </si>
  <si>
    <t xml:space="preserve">SW </t>
  </si>
  <si>
    <t>Amanda Willis</t>
  </si>
  <si>
    <t>SHIFTS</t>
  </si>
  <si>
    <t>A SHIFT</t>
  </si>
  <si>
    <t>LUNCH/BREAK SCHEDULE/Page 1</t>
  </si>
  <si>
    <t>Breaks</t>
  </si>
  <si>
    <t>Lunch</t>
  </si>
  <si>
    <t>LUNCH/BREAK SCHEDULE/Page 2</t>
  </si>
  <si>
    <t>LUNCH/BREAK SCHEDULE/Page 3</t>
  </si>
  <si>
    <t>LUNCH/BREAK LIST RULES:</t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</si>
  <si>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11"/>
        <color rgb="FF000000"/>
        <rFont val="Arial"/>
        <family val="2"/>
      </rPr>
      <t xml:space="preserve">You can only take a lunch in a lunch slot. No lunches will be allowed the first two or last two hours of your shift. 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</si>
  <si>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11"/>
        <color rgb="FF000000"/>
        <rFont val="Arial"/>
        <family val="2"/>
      </rPr>
      <t>Your shift includes any overtime or AWS worked.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</si>
  <si>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11"/>
        <color rgb="FF000000"/>
        <rFont val="Arial"/>
        <family val="2"/>
      </rPr>
      <t>You can only take a break in a break slot. You get one 15 minute break for every 4 hours worked. No breaks allowed in the first or last hour of your shift.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</si>
  <si>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11"/>
        <color rgb="FF000000"/>
        <rFont val="Arial"/>
        <family val="2"/>
      </rPr>
      <t xml:space="preserve">If you leave late on your break or lunch, advise the supervisor. 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</si>
  <si>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11"/>
        <color rgb="FF000000"/>
        <rFont val="Arial"/>
        <family val="2"/>
      </rPr>
      <t>You are not allowed to double up on any break/lunch slot.</t>
    </r>
  </si>
  <si>
    <t>0300</t>
  </si>
  <si>
    <t>0330</t>
  </si>
  <si>
    <t>0400</t>
  </si>
  <si>
    <t>0430</t>
  </si>
  <si>
    <t>0500</t>
  </si>
  <si>
    <t>0530</t>
  </si>
  <si>
    <t>0600</t>
  </si>
  <si>
    <t>0630</t>
  </si>
  <si>
    <t>0700</t>
  </si>
  <si>
    <t>0730</t>
  </si>
  <si>
    <t>0800</t>
  </si>
  <si>
    <t>0830</t>
  </si>
  <si>
    <t>0900</t>
  </si>
  <si>
    <t>0930</t>
  </si>
  <si>
    <t>1000</t>
  </si>
  <si>
    <t>1030</t>
  </si>
  <si>
    <t>1100</t>
  </si>
  <si>
    <t>0315</t>
  </si>
  <si>
    <t>0345</t>
  </si>
  <si>
    <t>0415</t>
  </si>
  <si>
    <t>0445</t>
  </si>
  <si>
    <t>0515</t>
  </si>
  <si>
    <t>0545</t>
  </si>
  <si>
    <t>0615</t>
  </si>
  <si>
    <t>0645</t>
  </si>
  <si>
    <t>0715</t>
  </si>
  <si>
    <t>0745</t>
  </si>
  <si>
    <t>0815</t>
  </si>
  <si>
    <t>0845</t>
  </si>
  <si>
    <t>0915</t>
  </si>
  <si>
    <t>0945</t>
  </si>
  <si>
    <t>1015</t>
  </si>
  <si>
    <t>1045</t>
  </si>
  <si>
    <t>1115</t>
  </si>
  <si>
    <t>TELETYPE</t>
  </si>
  <si>
    <t>0000</t>
  </si>
  <si>
    <t>0030</t>
  </si>
  <si>
    <t>0100</t>
  </si>
  <si>
    <t>0130</t>
  </si>
  <si>
    <t>0200</t>
  </si>
  <si>
    <t>0230</t>
  </si>
  <si>
    <t>0015</t>
  </si>
  <si>
    <t>0045</t>
  </si>
  <si>
    <t>0115</t>
  </si>
  <si>
    <t>0145</t>
  </si>
  <si>
    <t>0215</t>
  </si>
  <si>
    <t>0245</t>
  </si>
  <si>
    <t>Lydia Martinez</t>
  </si>
  <si>
    <t>Ami Muro</t>
  </si>
  <si>
    <t>Raquel Salazar</t>
  </si>
  <si>
    <t>Jamielyn Shwetzer</t>
  </si>
  <si>
    <t>Brenda Basulto</t>
  </si>
  <si>
    <t>Jose Lopez</t>
  </si>
  <si>
    <t>Jason Yang</t>
  </si>
  <si>
    <t>Adrienne Rodriguez</t>
  </si>
  <si>
    <t>Emily Franco</t>
  </si>
  <si>
    <t>Alexis Yandell</t>
  </si>
  <si>
    <t>Kimberly Lott</t>
  </si>
  <si>
    <t>Adriana Dedios</t>
  </si>
  <si>
    <t xml:space="preserve">Jessica Dukes </t>
  </si>
  <si>
    <t>Rina Rosales</t>
  </si>
  <si>
    <t>Marrie Sip</t>
  </si>
  <si>
    <t>Susie Amezcua</t>
  </si>
  <si>
    <t>Josephine Botello</t>
  </si>
  <si>
    <t>Jasmine Gomez</t>
  </si>
  <si>
    <t>Brenda Morgantini</t>
  </si>
  <si>
    <t xml:space="preserve">Heidi Roberts </t>
  </si>
  <si>
    <t>Maribel Escareno</t>
  </si>
  <si>
    <t>Nathanly Rodriguez</t>
  </si>
  <si>
    <t>Curt Barrow</t>
  </si>
  <si>
    <t>April Ponce</t>
  </si>
  <si>
    <t>STABILIZER</t>
  </si>
  <si>
    <t>Akilah Mccullough</t>
  </si>
  <si>
    <t>Asuzena Aquino</t>
  </si>
  <si>
    <t>Cierra Chochrek</t>
  </si>
  <si>
    <t>Stephanie Rojas</t>
  </si>
  <si>
    <t>Mark Teixeira</t>
  </si>
  <si>
    <t>Jackeline Carreon</t>
  </si>
  <si>
    <t>Lori Brown</t>
  </si>
  <si>
    <t>TRAINEES</t>
  </si>
  <si>
    <t>Tonya See</t>
  </si>
  <si>
    <t>Cassidy Voudry</t>
  </si>
  <si>
    <t>Edie Ochoa</t>
  </si>
  <si>
    <t>Eric Uribe</t>
  </si>
  <si>
    <t>Sonam Carter</t>
  </si>
  <si>
    <t xml:space="preserve">Sarah Fraley </t>
  </si>
  <si>
    <t>RELIEF</t>
  </si>
  <si>
    <t>Jorge Rosales</t>
  </si>
  <si>
    <t>Jessica Cardoza</t>
  </si>
  <si>
    <t>Chelsea Meave</t>
  </si>
  <si>
    <t>Leanne Heslep</t>
  </si>
  <si>
    <t>Allyson Trevino</t>
  </si>
  <si>
    <t>Valeria Guzman</t>
  </si>
  <si>
    <t>Mariah Rosales</t>
  </si>
  <si>
    <t>Jorge Alcorn</t>
  </si>
  <si>
    <t>Vanessa Mercado</t>
  </si>
  <si>
    <t>Daniel Gallardo</t>
  </si>
  <si>
    <t>Mindy Mcclung</t>
  </si>
  <si>
    <t>Kanong Lee</t>
  </si>
  <si>
    <t>Melina Davila</t>
  </si>
  <si>
    <t>Ricka  Majors</t>
  </si>
  <si>
    <t>Paola Barrientos</t>
  </si>
  <si>
    <t>Jesse Jimenez</t>
  </si>
  <si>
    <t>Delaney Boyd-Escobedo</t>
  </si>
  <si>
    <t xml:space="preserve">Brittany Watson </t>
  </si>
  <si>
    <t>Sofia Ruelas</t>
  </si>
  <si>
    <t>Dulcivet Garcia</t>
  </si>
  <si>
    <t>Robert Noriega</t>
  </si>
  <si>
    <t>Cicaly Cruz</t>
  </si>
  <si>
    <t>Gwen Anzaldo</t>
  </si>
  <si>
    <t>Brittany Watson</t>
  </si>
  <si>
    <t>RADIO SCHEDULE MAY 2026</t>
  </si>
  <si>
    <t>FLEN/NORI</t>
  </si>
  <si>
    <t>JLEA/WATS</t>
  </si>
  <si>
    <t>JLEA</t>
  </si>
  <si>
    <t>WATS</t>
  </si>
  <si>
    <t>VASQ/MERC</t>
  </si>
  <si>
    <t>SCOT/OCHO</t>
  </si>
  <si>
    <t>HACK/RUEL</t>
  </si>
  <si>
    <t>RUEL</t>
  </si>
  <si>
    <t>AWIL</t>
  </si>
  <si>
    <t>VASQ</t>
  </si>
  <si>
    <t>OCHO</t>
  </si>
  <si>
    <t>SCOT</t>
  </si>
  <si>
    <t>MERC</t>
  </si>
  <si>
    <t>KELL</t>
  </si>
  <si>
    <t>BMOR</t>
  </si>
  <si>
    <t>HROB</t>
  </si>
  <si>
    <t>DUKE</t>
  </si>
  <si>
    <t>LILL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</si>
</sst>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Calibri"/>
      <family val="2"/>
    </font>
    <font>
      <b/>
      <u/>
      <sz val="11"/>
      <color rgb="FF000000"/>
      <name val="Calibri"/>
      <family val="2"/>
    </font>
    <font>
      <b/>
      <sz val="9"/>
      <color rgb="FF000000"/>
      <name val="Calibri"/>
      <family val="2"/>
    </font>
    <font>
      <sz val="8"/>
      <color rgb="FF000000"/>
      <name val="Arial"/>
      <family val="2"/>
    </font>
    <font>
      <sz val="7"/>
      <color rgb="FF000000"/>
      <name val="Calibri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b/>
      <sz val="14"/>
      <color rgb="FF000000"/>
      <name val="Calibri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Times New Roman"/>
      <family val="1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1"/>
      <color rgb="FF000000"/>
      <name val="Symbol"/>
      <family val="1"/>
      <charset val="2"/>
    </font>
    <font>
      <sz val="7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0"/>
      <color rgb="FF000000"/>
      <name val="Arial"/>
      <family val="2"/>
    </font>
    <font>
      <sz val="7"/>
      <color rgb="FF000000"/>
      <name val="Arial"/>
      <family val="2"/>
    </font>
    <font>
      <b/>
      <u/>
      <sz val="7.5"/>
      <color rgb="FF000000"/>
      <name val="Arial"/>
      <family val="2"/>
    </font>
    <font>
      <sz val="7.5"/>
      <color rgb="FF000000"/>
      <name val="Arial"/>
      <family val="2"/>
    </font>
    <font>
      <sz val="11"/>
      <name val="Arial"/>
      <family val="2"/>
    </font>
    <font>
      <sz val="10"/>
      <color theme="0" tint="-0.34998626667073579"/>
      <name val="Arial"/>
      <family val="2"/>
    </font>
    <font>
      <sz val="7"/>
      <name val="Arial"/>
      <family val="2"/>
    </font>
    <font>
      <sz val="9"/>
      <color rgb="FF000000"/>
      <name val="Arial"/>
      <family val="2"/>
    </font>
    <font>
      <sz val="8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A6A6A6"/>
        <bgColor rgb="FFA6A6A6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0" fillId="0" borderId="0"/>
    <xf numFmtId="0" fontId="2" fillId="0" borderId="0"/>
    <xf numFmtId="0" fontId="10" fillId="0" borderId="0"/>
    <xf numFmtId="0" fontId="1" fillId="0" borderId="0"/>
  </cellStyleXfs>
  <cellXfs count="101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top" wrapText="1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/>
    </xf>
    <xf numFmtId="0" fontId="7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10" fillId="0" borderId="0" xfId="0" applyFont="1" applyAlignment="1">
      <alignment horizontal="center"/>
    </xf>
    <xf numFmtId="0" fontId="10" fillId="0" borderId="0" xfId="3"/>
    <xf numFmtId="0" fontId="10" fillId="0" borderId="0" xfId="3" applyAlignment="1">
      <alignment vertical="top" wrapText="1"/>
    </xf>
    <xf numFmtId="0" fontId="9" fillId="0" borderId="0" xfId="3" applyFont="1" applyAlignment="1">
      <alignment vertical="center"/>
    </xf>
    <xf numFmtId="0" fontId="11" fillId="0" borderId="0" xfId="0" applyFont="1"/>
    <xf numFmtId="0" fontId="9" fillId="0" borderId="0" xfId="3" applyFont="1"/>
    <xf numFmtId="0" fontId="0" fillId="0" borderId="0" xfId="0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3" fillId="0" borderId="3" xfId="0" applyFont="1" applyBorder="1" applyAlignment="1">
      <alignment horizontal="right"/>
    </xf>
    <xf numFmtId="0" fontId="15" fillId="0" borderId="0" xfId="0" applyFont="1"/>
    <xf numFmtId="0" fontId="10" fillId="0" borderId="0" xfId="0" applyFont="1"/>
    <xf numFmtId="0" fontId="13" fillId="0" borderId="4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4" borderId="3" xfId="0" applyFont="1" applyFill="1" applyBorder="1" applyAlignment="1">
      <alignment horizontal="center"/>
    </xf>
    <xf numFmtId="0" fontId="13" fillId="4" borderId="7" xfId="0" applyFont="1" applyFill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0" fontId="13" fillId="4" borderId="8" xfId="0" applyFont="1" applyFill="1" applyBorder="1" applyAlignment="1">
      <alignment horizontal="center"/>
    </xf>
    <xf numFmtId="0" fontId="13" fillId="4" borderId="0" xfId="0" applyFont="1" applyFill="1" applyAlignment="1">
      <alignment horizontal="center"/>
    </xf>
    <xf numFmtId="0" fontId="13" fillId="4" borderId="4" xfId="0" applyFont="1" applyFill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6" fillId="8" borderId="13" xfId="0" applyFont="1" applyFill="1" applyBorder="1" applyAlignment="1">
      <alignment vertical="center" wrapText="1"/>
    </xf>
    <xf numFmtId="0" fontId="16" fillId="0" borderId="13" xfId="0" applyFont="1" applyBorder="1" applyAlignment="1">
      <alignment vertical="center" wrapText="1"/>
    </xf>
    <xf numFmtId="0" fontId="16" fillId="9" borderId="13" xfId="0" applyFont="1" applyFill="1" applyBorder="1" applyAlignment="1">
      <alignment vertical="center" wrapText="1"/>
    </xf>
    <xf numFmtId="0" fontId="16" fillId="10" borderId="13" xfId="0" applyFont="1" applyFill="1" applyBorder="1" applyAlignment="1">
      <alignment vertical="center" wrapText="1"/>
    </xf>
    <xf numFmtId="49" fontId="21" fillId="0" borderId="12" xfId="0" applyNumberFormat="1" applyFont="1" applyBorder="1" applyAlignment="1">
      <alignment horizontal="center" vertical="center" wrapText="1"/>
    </xf>
    <xf numFmtId="49" fontId="5" fillId="0" borderId="0" xfId="0" applyNumberFormat="1" applyFont="1" applyAlignment="1">
      <alignment horizontal="center"/>
    </xf>
    <xf numFmtId="0" fontId="21" fillId="0" borderId="12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21" fillId="0" borderId="13" xfId="0" applyFont="1" applyBorder="1" applyAlignment="1">
      <alignment horizontal="center" vertical="center" wrapText="1"/>
    </xf>
    <xf numFmtId="0" fontId="21" fillId="8" borderId="13" xfId="0" applyFont="1" applyFill="1" applyBorder="1" applyAlignment="1">
      <alignment horizontal="center" vertical="center" wrapText="1"/>
    </xf>
    <xf numFmtId="49" fontId="21" fillId="0" borderId="13" xfId="0" applyNumberFormat="1" applyFont="1" applyBorder="1" applyAlignment="1">
      <alignment horizontal="center" vertical="center" wrapText="1"/>
    </xf>
    <xf numFmtId="49" fontId="21" fillId="8" borderId="13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vertical="center"/>
    </xf>
    <xf numFmtId="0" fontId="23" fillId="0" borderId="0" xfId="0" applyFont="1"/>
    <xf numFmtId="0" fontId="24" fillId="0" borderId="0" xfId="3" applyFont="1" applyAlignment="1">
      <alignment vertical="center"/>
    </xf>
    <xf numFmtId="0" fontId="24" fillId="0" borderId="0" xfId="3" applyFont="1"/>
    <xf numFmtId="0" fontId="25" fillId="0" borderId="0" xfId="3" applyFont="1" applyAlignment="1">
      <alignment vertical="center"/>
    </xf>
    <xf numFmtId="0" fontId="25" fillId="0" borderId="0" xfId="0" applyFont="1"/>
    <xf numFmtId="49" fontId="4" fillId="0" borderId="3" xfId="3" applyNumberFormat="1" applyFont="1" applyBorder="1" applyAlignment="1">
      <alignment horizontal="left" vertical="center"/>
    </xf>
    <xf numFmtId="0" fontId="4" fillId="0" borderId="0" xfId="0" applyFont="1"/>
    <xf numFmtId="0" fontId="8" fillId="0" borderId="0" xfId="3" applyFont="1"/>
    <xf numFmtId="0" fontId="4" fillId="0" borderId="3" xfId="0" applyFont="1" applyBorder="1" applyAlignment="1">
      <alignment horizontal="center" vertical="center"/>
    </xf>
    <xf numFmtId="0" fontId="4" fillId="0" borderId="3" xfId="0" applyFont="1" applyBorder="1"/>
    <xf numFmtId="0" fontId="14" fillId="0" borderId="0" xfId="0" applyFont="1"/>
    <xf numFmtId="0" fontId="22" fillId="0" borderId="0" xfId="0" applyFont="1"/>
    <xf numFmtId="0" fontId="26" fillId="0" borderId="0" xfId="0" applyFont="1"/>
    <xf numFmtId="0" fontId="4" fillId="0" borderId="0" xfId="3" applyFont="1"/>
    <xf numFmtId="0" fontId="3" fillId="0" borderId="0" xfId="0" applyFont="1"/>
    <xf numFmtId="0" fontId="23" fillId="0" borderId="0" xfId="3" applyFont="1"/>
    <xf numFmtId="0" fontId="27" fillId="0" borderId="3" xfId="0" applyFont="1" applyBorder="1" applyAlignment="1">
      <alignment horizontal="center"/>
    </xf>
    <xf numFmtId="0" fontId="28" fillId="0" borderId="0" xfId="0" applyFont="1"/>
    <xf numFmtId="0" fontId="28" fillId="0" borderId="0" xfId="3" applyFont="1" applyAlignment="1">
      <alignment vertical="center"/>
    </xf>
    <xf numFmtId="0" fontId="16" fillId="4" borderId="13" xfId="0" applyFont="1" applyFill="1" applyBorder="1" applyAlignment="1">
      <alignment vertical="center" wrapText="1"/>
    </xf>
    <xf numFmtId="49" fontId="21" fillId="4" borderId="13" xfId="0" applyNumberFormat="1" applyFont="1" applyFill="1" applyBorder="1" applyAlignment="1">
      <alignment horizontal="center" vertical="center" wrapText="1"/>
    </xf>
    <xf numFmtId="0" fontId="9" fillId="0" borderId="0" xfId="0" applyFont="1"/>
    <xf numFmtId="0" fontId="13" fillId="0" borderId="8" xfId="0" applyFont="1" applyBorder="1" applyAlignment="1">
      <alignment horizontal="center"/>
    </xf>
    <xf numFmtId="0" fontId="4" fillId="0" borderId="3" xfId="3" applyFont="1" applyBorder="1" applyAlignment="1">
      <alignment horizontal="left" vertical="center"/>
    </xf>
    <xf numFmtId="0" fontId="29" fillId="0" borderId="3" xfId="3" applyFont="1" applyBorder="1" applyAlignment="1">
      <alignment horizontal="left" vertical="center"/>
    </xf>
    <xf numFmtId="1" fontId="4" fillId="0" borderId="3" xfId="3" applyNumberFormat="1" applyFont="1" applyBorder="1" applyAlignment="1">
      <alignment horizontal="left" vertical="center"/>
    </xf>
    <xf numFmtId="0" fontId="13" fillId="3" borderId="3" xfId="0" applyFont="1" applyFill="1" applyBorder="1" applyAlignment="1">
      <alignment horizontal="center"/>
    </xf>
    <xf numFmtId="0" fontId="13" fillId="5" borderId="5" xfId="0" applyFont="1" applyFill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3" fillId="3" borderId="5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3" fillId="0" borderId="3" xfId="0" applyFont="1" applyBorder="1" applyAlignment="1">
      <alignment horizontal="center" shrinkToFit="1"/>
    </xf>
    <xf numFmtId="0" fontId="13" fillId="3" borderId="3" xfId="0" applyFont="1" applyFill="1" applyBorder="1" applyAlignment="1">
      <alignment horizontal="center" shrinkToFit="1"/>
    </xf>
    <xf numFmtId="0" fontId="17" fillId="11" borderId="4" xfId="0" applyFont="1" applyFill="1" applyBorder="1" applyAlignment="1">
      <alignment horizontal="center"/>
    </xf>
    <xf numFmtId="0" fontId="17" fillId="11" borderId="6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49" fontId="21" fillId="0" borderId="14" xfId="0" applyNumberFormat="1" applyFont="1" applyBorder="1" applyAlignment="1">
      <alignment horizontal="center" vertical="center" wrapText="1"/>
    </xf>
    <xf numFmtId="49" fontId="21" fillId="0" borderId="12" xfId="0" applyNumberFormat="1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8" fillId="6" borderId="9" xfId="0" applyFont="1" applyFill="1" applyBorder="1" applyAlignment="1">
      <alignment horizontal="center" vertical="center" wrapText="1"/>
    </xf>
    <xf numFmtId="0" fontId="18" fillId="6" borderId="10" xfId="0" applyFont="1" applyFill="1" applyBorder="1" applyAlignment="1">
      <alignment horizontal="center" vertical="center" wrapText="1"/>
    </xf>
    <xf numFmtId="0" fontId="18" fillId="6" borderId="11" xfId="0" applyFont="1" applyFill="1" applyBorder="1" applyAlignment="1">
      <alignment horizontal="center" vertical="center" wrapText="1"/>
    </xf>
    <xf numFmtId="0" fontId="18" fillId="7" borderId="9" xfId="0" applyFont="1" applyFill="1" applyBorder="1" applyAlignment="1">
      <alignment horizontal="center" vertical="center" wrapText="1"/>
    </xf>
    <xf numFmtId="0" fontId="18" fillId="7" borderId="11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 indent="1"/>
    </xf>
    <xf numFmtId="0" fontId="19" fillId="0" borderId="0" xfId="0" applyFont="1" applyAlignment="1">
      <alignment horizontal="left" vertical="center" indent="1"/>
    </xf>
    <xf numFmtId="0" fontId="3" fillId="0" borderId="15" xfId="0" applyFont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</cellXfs>
  <cellStyles count="5">
    <cellStyle name="Normal" xfId="0" builtinId="0"/>
    <cellStyle name="Normal 2" xfId="3" xr:uid="{00000000-0005-0000-0000-000001000000}"/>
    <cellStyle name="Normal 3" xfId="2" xr:uid="{00000000-0005-0000-0000-000002000000}"/>
    <cellStyle name="Normal 3 2" xfId="4" xr:uid="{00000000-0005-0000-0000-000003000000}"/>
    <cellStyle name="Normal 4" xfId="1" xr:uid="{00000000-0005-0000-0000-000004000000}"/>
  </cellStyles>
  <dxfs count="1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strike val="0"/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9" Type="http://schemas.microsoft.com/office/2006/relationships/vbaProject" Target="vbaProject.bin"/><Relationship Id="rId21" Type="http://schemas.openxmlformats.org/officeDocument/2006/relationships/worksheet" Target="worksheets/sheet20.xml"/><Relationship Id="rId34" Type="http://schemas.openxmlformats.org/officeDocument/2006/relationships/theme" Target="theme/theme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calcChain" Target="calcChain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worksheet" Target="worksheets/sheet28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32" Type="http://schemas.openxmlformats.org/officeDocument/2006/relationships/worksheet" Target="worksheets/sheet31.xml"/><Relationship Id="rId37" Type="http://schemas.openxmlformats.org/officeDocument/2006/relationships/sheetMetadata" Target="metadata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worksheet" Target="worksheets/sheet30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styles" Target="styles.xml"/><Relationship Id="rId8" Type="http://schemas.openxmlformats.org/officeDocument/2006/relationships/worksheet" Target="worksheets/sheet7.xml"/><Relationship Id="rId3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'2024'!#REF!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'2024'!#REF!</c15:sqref>
                        </c15:formulaRef>
                      </c:ext>
                    </c:extLst>
                    <c:strCache>
                      <c:ptCount val="12"/>
                      <c:pt idx="0">
                        <c:v>RELIEF</c:v>
                      </c:pt>
                      <c:pt idx="1">
                        <c:v>WORD</c:v>
                      </c:pt>
                      <c:pt idx="2">
                        <c:v>WORD</c:v>
                      </c:pt>
                      <c:pt idx="3">
                        <c:v>SOND</c:v>
                      </c:pt>
                      <c:pt idx="4">
                        <c:v>KELL</c:v>
                      </c:pt>
                      <c:pt idx="5">
                        <c:v>TAKA</c:v>
                      </c:pt>
                      <c:pt idx="6">
                        <c:v>BASU</c:v>
                      </c:pt>
                      <c:pt idx="7">
                        <c:v>BLAN</c:v>
                      </c:pt>
                      <c:pt idx="8">
                        <c:v>JOIN</c:v>
                      </c:pt>
                      <c:pt idx="9">
                        <c:v>DEDI</c:v>
                      </c:pt>
                      <c:pt idx="10">
                        <c:v>FRAL</c:v>
                      </c:pt>
                      <c:pt idx="11">
                        <c:v>QUIN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6A1-4920-BEDF-27EAFCD27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0511192"/>
        <c:axId val="470511520"/>
      </c:barChart>
      <c:catAx>
        <c:axId val="470511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511520"/>
        <c:crosses val="autoZero"/>
        <c:auto val="1"/>
        <c:lblAlgn val="ctr"/>
        <c:lblOffset val="100"/>
        <c:noMultiLvlLbl val="0"/>
      </c:catAx>
      <c:valAx>
        <c:axId val="47051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51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11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</xdr:colOff>
      <xdr:row>110</xdr:row>
      <xdr:rowOff>190501</xdr:rowOff>
    </xdr:from>
    <xdr:ext cx="7134225" cy="1743074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525" y="22031326"/>
          <a:ext cx="7134225" cy="1743074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r>
            <a:rPr lang="en-US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LUNCH/BREAK LIST RULES:</a:t>
          </a:r>
        </a:p>
        <a:p>
          <a:r>
            <a:rPr lang="en-US" sz="110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● You can only take a lunch in a lunch slot. No lunches will be allowed the first two or last two hours of your shift.</a:t>
          </a:r>
        </a:p>
        <a:p>
          <a:r>
            <a:rPr lang="en-US" sz="1100">
              <a:effectLst/>
              <a:latin typeface="+mn-lt"/>
              <a:ea typeface="+mn-ea"/>
              <a:cs typeface="+mn-cs"/>
            </a:rPr>
            <a:t>● </a:t>
          </a:r>
          <a:r>
            <a:rPr lang="en-US" sz="110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Your shift includes any overtime or AWS worked. </a:t>
          </a:r>
        </a:p>
        <a:p>
          <a:r>
            <a:rPr lang="en-US" sz="1100">
              <a:effectLst/>
              <a:latin typeface="+mn-lt"/>
              <a:ea typeface="+mn-ea"/>
              <a:cs typeface="+mn-cs"/>
            </a:rPr>
            <a:t>● </a:t>
          </a:r>
          <a:r>
            <a:rPr lang="en-US" sz="110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You can only take a break in a break slot. You get one 15 minute break for every 4 hours worked. No breaks allowed in the first  or last hour of your shift. </a:t>
          </a:r>
        </a:p>
        <a:p>
          <a:r>
            <a:rPr lang="en-US" sz="1100">
              <a:effectLst/>
              <a:latin typeface="+mn-lt"/>
              <a:ea typeface="+mn-ea"/>
              <a:cs typeface="+mn-cs"/>
            </a:rPr>
            <a:t>● </a:t>
          </a:r>
          <a:r>
            <a:rPr lang="en-US" sz="110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you leave late on your break or lunch, advise the supervisor. </a:t>
          </a:r>
        </a:p>
        <a:p>
          <a:r>
            <a:rPr lang="en-US" sz="1100">
              <a:effectLst/>
              <a:latin typeface="+mn-lt"/>
              <a:ea typeface="+mn-ea"/>
              <a:cs typeface="+mn-cs"/>
            </a:rPr>
            <a:t>● </a:t>
          </a:r>
          <a:r>
            <a:rPr lang="en-US" sz="110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You are not allowed to double up on any break/lunch slot.</a:t>
          </a:r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80760-941E-4C2F-BE0F-BF89C6630817}" name="Table1" displayName="Table1" ref="A3:G45" totalsRowShown="0" headerRowDxfId="1">
  <autoFilter ref="A3:G45" xr:uid="{65B80760-941E-4C2F-BE0F-BF89C6630817}"/>
  <tableColumns count="7">
    <tableColumn id="1" xr3:uid="{D4D43AF1-7E52-4253-8B6F-62529214E03A}" name="A SHIFT"/>
    <tableColumn id="2" xr3:uid="{36148561-0BD7-444A-BAF1-D930235D5130}" name="B SHIFT"/>
    <tableColumn id="3" xr3:uid="{9594B476-BE55-464B-8C7F-66424177E38D}" name="C SHIFT"/>
    <tableColumn id="4" xr3:uid="{63F534EC-57A2-4D4E-8B7D-9A4C087199D6}" name="D SHIFT"/>
    <tableColumn id="5" xr3:uid="{0F0923FB-15BF-4CBD-975E-30F80FC3DE8F}" name="E SHIFT" dataDxfId="0" dataCellStyle="Normal 2"/>
    <tableColumn id="6" xr3:uid="{9AEBFD13-C2E8-4C92-BE37-46ECDE466E65}" name="F SHIFT"/>
    <tableColumn id="7" xr3:uid="{EBE357CC-10DB-4783-83DE-DAAA3E85C5E0}" name="TRAINEES"/>
  </tableColumns>
  <tableStyleInfo name="TableStyleMedium16" showFirstColumn="0" showLastColumn="0" showRowStripes="0" showColumnStripes="1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P1004"/>
  <sheetViews>
    <sheetView showGridLines="0" tabSelected="1" view="pageLayout" topLeftCell="A44" zoomScaleNormal="100" workbookViewId="0">
      <selection activeCell="E17" sqref="E17"/>
    </sheetView>
  </sheetViews>
  <sheetFormatPr defaultColWidth="7.42578125" defaultRowHeight="15" customHeight="1" x14ac:dyDescent="0.25"/>
  <cols>
    <col min="1" max="1" width="11.7109375" customWidth="1"/>
    <col min="2" max="2" width="13.42578125" customWidth="1"/>
    <col min="3" max="3" width="13.5703125" customWidth="1"/>
    <col min="4" max="5" width="14.5703125" customWidth="1"/>
    <col min="6" max="6" width="12.85546875" customWidth="1"/>
    <col min="7" max="7" width="13.140625" customWidth="1"/>
    <col min="8" max="8" width="13.28515625" customWidth="1"/>
    <col min="9" max="9" width="12.5703125" customWidth="1"/>
    <col min="10" max="10" width="13.7109375" style="14" customWidth="1"/>
    <col min="11" max="11" width="11.42578125" customWidth="1"/>
    <col min="12" max="12" width="18.140625" customWidth="1"/>
    <col min="13" max="13" width="16.28515625" customWidth="1"/>
    <col min="14" max="14" width="17.140625" customWidth="1"/>
    <col min="15" max="15" width="15.42578125" customWidth="1"/>
    <col min="16" max="16" width="9.42578125" customWidth="1"/>
    <col min="17" max="19" width="8.7109375" customWidth="1"/>
  </cols>
  <sheetData>
    <row r="3" spans="1:10" ht="15" customHeight="1" x14ac:dyDescent="0.25">
      <c r="J3" s="22"/>
    </row>
    <row r="4" spans="1:10" ht="15" customHeight="1" x14ac:dyDescent="0.3">
      <c r="D4" s="24" t="s">
        <v>191</v>
      </c>
      <c r="E4" s="21"/>
      <c r="F4" s="15"/>
      <c r="G4" s="18"/>
      <c r="H4" s="18"/>
      <c r="I4" s="18"/>
    </row>
    <row r="5" spans="1:10" ht="15" customHeight="1" x14ac:dyDescent="0.25">
      <c r="A5" s="1" t="s">
        <v>0</v>
      </c>
      <c r="B5" s="1" t="s">
        <v>65</v>
      </c>
      <c r="C5" s="1" t="s">
        <v>2</v>
      </c>
      <c r="D5" s="1" t="s">
        <v>3</v>
      </c>
      <c r="E5" s="1" t="s">
        <v>64</v>
      </c>
      <c r="F5" s="1" t="s">
        <v>4</v>
      </c>
      <c r="G5" s="1" t="s">
        <v>5</v>
      </c>
      <c r="H5" s="11" t="s">
        <v>6</v>
      </c>
      <c r="I5" s="12" t="s">
        <v>166</v>
      </c>
      <c r="J5"/>
    </row>
    <row r="6" spans="1:10" x14ac:dyDescent="0.25">
      <c r="A6" s="2" t="s">
        <v>7</v>
      </c>
      <c r="B6" s="27"/>
      <c r="C6" s="28"/>
      <c r="D6" s="28"/>
      <c r="E6" s="27"/>
      <c r="F6" s="29"/>
      <c r="G6" s="77"/>
      <c r="H6" s="26"/>
      <c r="I6" s="81"/>
      <c r="J6"/>
    </row>
    <row r="7" spans="1:10" x14ac:dyDescent="0.25">
      <c r="A7" s="2" t="s">
        <v>8</v>
      </c>
      <c r="B7" s="30"/>
      <c r="C7" s="30" t="s">
        <v>192</v>
      </c>
      <c r="D7" s="31"/>
      <c r="E7" s="30"/>
      <c r="F7" s="32"/>
      <c r="G7" s="78"/>
      <c r="H7" s="73"/>
      <c r="I7" s="81"/>
      <c r="J7"/>
    </row>
    <row r="8" spans="1:10" x14ac:dyDescent="0.25">
      <c r="A8" s="2" t="s">
        <v>9</v>
      </c>
      <c r="B8" s="27"/>
      <c r="C8" s="27"/>
      <c r="D8" s="28"/>
      <c r="E8" s="27"/>
      <c r="F8" s="33"/>
      <c r="G8" s="27" t="s">
        <v>205</v>
      </c>
      <c r="H8" s="26" t="s">
        <v>192</v>
      </c>
      <c r="I8" s="81"/>
      <c r="J8"/>
    </row>
    <row r="9" spans="1:10" x14ac:dyDescent="0.25">
      <c r="A9" s="2" t="s">
        <v>10</v>
      </c>
      <c r="B9" s="27" t="s">
        <v>205</v>
      </c>
      <c r="C9" s="27"/>
      <c r="D9" s="28"/>
      <c r="E9" s="27" t="s">
        <v>208</v>
      </c>
      <c r="F9" s="34"/>
      <c r="G9" s="27" t="s">
        <v>207</v>
      </c>
      <c r="H9" s="26" t="s">
        <v>192</v>
      </c>
      <c r="I9" s="81"/>
      <c r="J9"/>
    </row>
    <row r="10" spans="1:10" x14ac:dyDescent="0.25">
      <c r="A10" s="2" t="s">
        <v>11</v>
      </c>
      <c r="B10" s="27"/>
      <c r="C10" s="27"/>
      <c r="D10" s="27" t="s">
        <v>207</v>
      </c>
      <c r="E10" s="27"/>
      <c r="F10" s="26" t="s">
        <v>208</v>
      </c>
      <c r="G10" s="27"/>
      <c r="H10" s="26" t="s">
        <v>192</v>
      </c>
      <c r="I10" s="81"/>
      <c r="J10"/>
    </row>
    <row r="11" spans="1:10" x14ac:dyDescent="0.25">
      <c r="A11" s="2" t="s">
        <v>12</v>
      </c>
      <c r="B11" s="27"/>
      <c r="C11" s="27"/>
      <c r="D11" s="27"/>
      <c r="E11" s="27"/>
      <c r="F11" s="26"/>
      <c r="G11" s="27"/>
      <c r="H11" s="26"/>
      <c r="I11" s="81"/>
      <c r="J11"/>
    </row>
    <row r="12" spans="1:10" x14ac:dyDescent="0.25">
      <c r="A12" s="2" t="s">
        <v>13</v>
      </c>
      <c r="B12" s="27"/>
      <c r="C12" s="27"/>
      <c r="D12" s="27"/>
      <c r="E12" s="27"/>
      <c r="F12" s="26"/>
      <c r="G12" s="27"/>
      <c r="H12" s="26"/>
      <c r="I12" s="79"/>
      <c r="J12"/>
    </row>
    <row r="13" spans="1:10" x14ac:dyDescent="0.25">
      <c r="A13" s="2" t="s">
        <v>14</v>
      </c>
      <c r="B13" s="27"/>
      <c r="C13" s="27" t="s">
        <v>193</v>
      </c>
      <c r="D13" s="37"/>
      <c r="E13" s="27"/>
      <c r="F13" s="26"/>
      <c r="G13" s="27"/>
      <c r="H13" s="26"/>
      <c r="I13" s="27"/>
      <c r="J13"/>
    </row>
    <row r="14" spans="1:10" x14ac:dyDescent="0.25">
      <c r="A14" s="2" t="s">
        <v>15</v>
      </c>
      <c r="B14" s="27"/>
      <c r="C14" s="27" t="s">
        <v>194</v>
      </c>
      <c r="D14" s="27"/>
      <c r="E14" s="27"/>
      <c r="F14" s="26"/>
      <c r="G14" s="27"/>
      <c r="H14" s="26" t="s">
        <v>195</v>
      </c>
      <c r="I14" s="27"/>
      <c r="J14"/>
    </row>
    <row r="15" spans="1:10" x14ac:dyDescent="0.25">
      <c r="A15" s="2" t="s">
        <v>16</v>
      </c>
      <c r="B15" s="27"/>
      <c r="C15" s="27"/>
      <c r="D15" s="27"/>
      <c r="E15" s="27"/>
      <c r="F15" s="26"/>
      <c r="G15" s="27"/>
      <c r="H15" s="26"/>
      <c r="I15" s="27"/>
      <c r="J15"/>
    </row>
    <row r="16" spans="1:10" x14ac:dyDescent="0.25">
      <c r="A16" s="2" t="s">
        <v>17</v>
      </c>
      <c r="B16" s="27" t="s">
        <v>209</v>
      </c>
      <c r="C16" s="27"/>
      <c r="D16" s="27"/>
      <c r="E16" s="27"/>
      <c r="F16" s="26"/>
      <c r="G16" s="27"/>
      <c r="H16" s="26"/>
      <c r="I16" s="27"/>
      <c r="J16"/>
    </row>
    <row r="17" spans="1:10" x14ac:dyDescent="0.25">
      <c r="A17" s="2" t="s">
        <v>18</v>
      </c>
      <c r="B17" s="27"/>
      <c r="C17" s="27"/>
      <c r="D17" s="27"/>
      <c r="E17" s="27"/>
      <c r="F17" s="26"/>
      <c r="G17" s="67"/>
      <c r="H17" s="26"/>
      <c r="I17" s="27"/>
      <c r="J17"/>
    </row>
    <row r="18" spans="1:10" ht="15" customHeight="1" x14ac:dyDescent="0.25">
      <c r="B18" s="20"/>
      <c r="C18" s="20"/>
      <c r="D18" s="20"/>
      <c r="E18" s="20"/>
      <c r="F18" s="20"/>
      <c r="G18" s="20"/>
      <c r="H18" s="20"/>
      <c r="J18"/>
    </row>
    <row r="19" spans="1:10" x14ac:dyDescent="0.25">
      <c r="A19" s="1" t="s">
        <v>1</v>
      </c>
      <c r="B19" s="1" t="s">
        <v>63</v>
      </c>
      <c r="C19" s="1" t="s">
        <v>2</v>
      </c>
      <c r="D19" s="1" t="s">
        <v>3</v>
      </c>
      <c r="E19" s="1" t="s">
        <v>56</v>
      </c>
      <c r="F19" s="1" t="s">
        <v>4</v>
      </c>
      <c r="G19" s="1" t="s">
        <v>5</v>
      </c>
      <c r="H19" s="1" t="s">
        <v>6</v>
      </c>
      <c r="I19" s="12" t="s">
        <v>166</v>
      </c>
      <c r="J19"/>
    </row>
    <row r="20" spans="1:10" x14ac:dyDescent="0.25">
      <c r="A20" s="2" t="s">
        <v>7</v>
      </c>
      <c r="B20" s="27" t="s">
        <v>192</v>
      </c>
      <c r="C20" s="28"/>
      <c r="D20" s="28"/>
      <c r="E20" s="27"/>
      <c r="F20" s="29"/>
      <c r="G20" s="77"/>
      <c r="H20" s="27"/>
      <c r="I20" s="81"/>
      <c r="J20"/>
    </row>
    <row r="21" spans="1:10" x14ac:dyDescent="0.25">
      <c r="A21" s="2" t="s">
        <v>8</v>
      </c>
      <c r="B21" s="30"/>
      <c r="C21" s="30"/>
      <c r="D21" s="31"/>
      <c r="E21" s="30"/>
      <c r="F21" s="32"/>
      <c r="G21" s="80"/>
      <c r="H21" s="30" t="s">
        <v>192</v>
      </c>
      <c r="I21" s="81"/>
      <c r="J21"/>
    </row>
    <row r="22" spans="1:10" ht="15.75" customHeight="1" x14ac:dyDescent="0.25">
      <c r="A22" s="2" t="s">
        <v>9</v>
      </c>
      <c r="B22" s="27" t="s">
        <v>205</v>
      </c>
      <c r="C22" s="27"/>
      <c r="D22" s="28"/>
      <c r="E22" s="26"/>
      <c r="F22" s="28"/>
      <c r="G22" s="28" t="s">
        <v>206</v>
      </c>
      <c r="H22" s="35"/>
      <c r="I22" s="81"/>
      <c r="J22"/>
    </row>
    <row r="23" spans="1:10" ht="15.75" customHeight="1" x14ac:dyDescent="0.25">
      <c r="A23" s="2" t="s">
        <v>10</v>
      </c>
      <c r="B23" s="27"/>
      <c r="C23" s="27" t="s">
        <v>207</v>
      </c>
      <c r="D23" s="28"/>
      <c r="E23" s="26" t="s">
        <v>205</v>
      </c>
      <c r="F23" s="34"/>
      <c r="G23" s="28" t="s">
        <v>206</v>
      </c>
      <c r="H23" s="27" t="s">
        <v>192</v>
      </c>
      <c r="I23" s="81"/>
      <c r="J23"/>
    </row>
    <row r="24" spans="1:10" ht="15.75" customHeight="1" x14ac:dyDescent="0.25">
      <c r="A24" s="2" t="s">
        <v>11</v>
      </c>
      <c r="B24" s="27" t="s">
        <v>207</v>
      </c>
      <c r="C24" s="27"/>
      <c r="D24" s="27"/>
      <c r="E24" s="27"/>
      <c r="F24" s="26"/>
      <c r="G24" s="28"/>
      <c r="H24" s="27" t="s">
        <v>192</v>
      </c>
      <c r="I24" s="81"/>
      <c r="J24"/>
    </row>
    <row r="25" spans="1:10" ht="15.75" customHeight="1" x14ac:dyDescent="0.25">
      <c r="A25" s="2" t="s">
        <v>12</v>
      </c>
      <c r="B25" s="27"/>
      <c r="C25" s="27"/>
      <c r="D25" s="27"/>
      <c r="E25" s="27"/>
      <c r="F25" s="26"/>
      <c r="G25" s="28"/>
      <c r="H25" s="27"/>
      <c r="I25" s="81"/>
      <c r="J25"/>
    </row>
    <row r="26" spans="1:10" ht="15.75" customHeight="1" x14ac:dyDescent="0.25">
      <c r="A26" s="2" t="s">
        <v>13</v>
      </c>
      <c r="B26" s="27"/>
      <c r="C26" s="27"/>
      <c r="D26" s="27"/>
      <c r="E26" s="27"/>
      <c r="F26" s="26"/>
      <c r="G26" s="28"/>
      <c r="H26" s="27"/>
      <c r="I26" s="79"/>
      <c r="J26"/>
    </row>
    <row r="27" spans="1:10" ht="15.75" customHeight="1" x14ac:dyDescent="0.25">
      <c r="A27" s="2" t="s">
        <v>14</v>
      </c>
      <c r="B27" s="27"/>
      <c r="C27" s="27"/>
      <c r="D27" s="27"/>
      <c r="E27" s="27"/>
      <c r="F27" s="26"/>
      <c r="G27" s="28"/>
      <c r="H27" s="27"/>
      <c r="I27" s="79"/>
      <c r="J27"/>
    </row>
    <row r="28" spans="1:10" ht="15.75" customHeight="1" x14ac:dyDescent="0.25">
      <c r="A28" s="2" t="s">
        <v>15</v>
      </c>
      <c r="B28" s="27"/>
      <c r="C28" s="27"/>
      <c r="D28" s="27"/>
      <c r="E28" s="27"/>
      <c r="F28" s="26"/>
      <c r="G28" s="28"/>
      <c r="H28" s="27"/>
      <c r="I28" s="79"/>
      <c r="J28"/>
    </row>
    <row r="29" spans="1:10" ht="15.75" customHeight="1" x14ac:dyDescent="0.25">
      <c r="A29" s="2" t="s">
        <v>16</v>
      </c>
      <c r="B29" s="27"/>
      <c r="C29" s="27"/>
      <c r="D29" s="27"/>
      <c r="E29" s="27"/>
      <c r="F29" s="26"/>
      <c r="G29" s="28"/>
      <c r="H29" s="27"/>
      <c r="I29" s="79"/>
      <c r="J29"/>
    </row>
    <row r="30" spans="1:10" ht="15.75" customHeight="1" x14ac:dyDescent="0.25">
      <c r="A30" s="2" t="s">
        <v>17</v>
      </c>
      <c r="B30" s="27"/>
      <c r="C30" s="27"/>
      <c r="D30" s="27" t="s">
        <v>209</v>
      </c>
      <c r="E30" s="27"/>
      <c r="F30" s="26"/>
      <c r="G30" s="28"/>
      <c r="H30" s="27"/>
      <c r="I30" s="79"/>
      <c r="J30"/>
    </row>
    <row r="31" spans="1:10" ht="15.75" customHeight="1" x14ac:dyDescent="0.25">
      <c r="A31" s="2" t="s">
        <v>18</v>
      </c>
      <c r="B31" s="27"/>
      <c r="C31" s="27"/>
      <c r="D31" s="27"/>
      <c r="E31" s="27"/>
      <c r="F31" s="26"/>
      <c r="G31" s="28"/>
      <c r="H31" s="27"/>
      <c r="I31" s="79"/>
      <c r="J31"/>
    </row>
    <row r="32" spans="1:10" ht="15.75" customHeight="1" x14ac:dyDescent="0.25">
      <c r="B32" s="20"/>
      <c r="C32" s="20"/>
      <c r="D32" s="20"/>
      <c r="E32" s="20"/>
      <c r="F32" s="20"/>
      <c r="G32" s="20"/>
      <c r="H32" s="20"/>
      <c r="J32"/>
    </row>
    <row r="33" spans="1:10" ht="15.75" customHeight="1" x14ac:dyDescent="0.25">
      <c r="A33" s="1" t="s">
        <v>26</v>
      </c>
      <c r="B33" s="1" t="s">
        <v>63</v>
      </c>
      <c r="C33" s="1" t="s">
        <v>2</v>
      </c>
      <c r="D33" s="1" t="s">
        <v>3</v>
      </c>
      <c r="E33" s="1" t="s">
        <v>56</v>
      </c>
      <c r="F33" s="1" t="s">
        <v>4</v>
      </c>
      <c r="G33" s="1" t="s">
        <v>5</v>
      </c>
      <c r="H33" s="1" t="s">
        <v>6</v>
      </c>
      <c r="I33" s="12" t="s">
        <v>166</v>
      </c>
      <c r="J33"/>
    </row>
    <row r="34" spans="1:10" ht="15.75" customHeight="1" x14ac:dyDescent="0.25">
      <c r="A34" s="2" t="s">
        <v>7</v>
      </c>
      <c r="B34" s="27"/>
      <c r="C34" s="28"/>
      <c r="D34" s="28"/>
      <c r="E34" s="27"/>
      <c r="F34" s="29"/>
      <c r="G34" s="77"/>
      <c r="H34" s="27" t="s">
        <v>192</v>
      </c>
      <c r="I34" s="81"/>
      <c r="J34"/>
    </row>
    <row r="35" spans="1:10" ht="15.75" customHeight="1" x14ac:dyDescent="0.25">
      <c r="A35" s="2" t="s">
        <v>8</v>
      </c>
      <c r="B35" s="30"/>
      <c r="C35" s="30"/>
      <c r="D35" s="31"/>
      <c r="E35" s="30"/>
      <c r="F35" s="32"/>
      <c r="G35" s="78"/>
      <c r="H35" s="30" t="s">
        <v>192</v>
      </c>
      <c r="I35" s="81"/>
      <c r="J35"/>
    </row>
    <row r="36" spans="1:10" ht="15.75" customHeight="1" x14ac:dyDescent="0.25">
      <c r="A36" s="2" t="s">
        <v>9</v>
      </c>
      <c r="B36" s="27" t="s">
        <v>192</v>
      </c>
      <c r="C36" s="27"/>
      <c r="D36" s="28"/>
      <c r="E36" s="27"/>
      <c r="F36" s="33"/>
      <c r="G36" s="27"/>
      <c r="H36" s="27"/>
      <c r="I36" s="81"/>
      <c r="J36"/>
    </row>
    <row r="37" spans="1:10" ht="15.75" customHeight="1" x14ac:dyDescent="0.25">
      <c r="A37" s="2" t="s">
        <v>10</v>
      </c>
      <c r="B37" s="27"/>
      <c r="C37" s="27"/>
      <c r="D37" s="28"/>
      <c r="E37" s="27"/>
      <c r="F37" s="34"/>
      <c r="G37" s="27" t="s">
        <v>206</v>
      </c>
      <c r="H37" s="27" t="s">
        <v>192</v>
      </c>
      <c r="I37" s="81"/>
      <c r="J37"/>
    </row>
    <row r="38" spans="1:10" ht="15.75" customHeight="1" x14ac:dyDescent="0.25">
      <c r="A38" s="2" t="s">
        <v>11</v>
      </c>
      <c r="B38" s="27"/>
      <c r="C38" s="27"/>
      <c r="D38" s="27" t="s">
        <v>207</v>
      </c>
      <c r="E38" s="27"/>
      <c r="F38" s="26" t="s">
        <v>198</v>
      </c>
      <c r="G38" s="27"/>
      <c r="H38" s="27"/>
      <c r="I38" s="81"/>
      <c r="J38"/>
    </row>
    <row r="39" spans="1:10" ht="15.75" customHeight="1" x14ac:dyDescent="0.25">
      <c r="A39" s="2" t="s">
        <v>12</v>
      </c>
      <c r="B39" s="27"/>
      <c r="C39" s="27"/>
      <c r="D39" s="27"/>
      <c r="E39" s="27"/>
      <c r="F39" s="26"/>
      <c r="G39" s="27"/>
      <c r="H39" s="27" t="s">
        <v>199</v>
      </c>
      <c r="I39" s="81"/>
      <c r="J39"/>
    </row>
    <row r="40" spans="1:10" ht="15.75" customHeight="1" x14ac:dyDescent="0.25">
      <c r="A40" s="2" t="s">
        <v>13</v>
      </c>
      <c r="B40" s="27"/>
      <c r="C40" s="27" t="s">
        <v>198</v>
      </c>
      <c r="D40" s="27"/>
      <c r="E40" s="27"/>
      <c r="F40" s="26"/>
      <c r="G40" s="27"/>
      <c r="H40" s="27"/>
      <c r="I40" s="79"/>
      <c r="J40"/>
    </row>
    <row r="41" spans="1:10" ht="15.75" customHeight="1" x14ac:dyDescent="0.25">
      <c r="A41" s="2" t="s">
        <v>14</v>
      </c>
      <c r="B41" s="27"/>
      <c r="C41" s="27"/>
      <c r="D41" s="37"/>
      <c r="E41" s="27" t="s">
        <v>196</v>
      </c>
      <c r="F41" s="26"/>
      <c r="G41" s="27"/>
      <c r="H41" s="27"/>
      <c r="I41" s="79"/>
      <c r="J41"/>
    </row>
    <row r="42" spans="1:10" ht="15.75" customHeight="1" x14ac:dyDescent="0.25">
      <c r="A42" s="2" t="s">
        <v>15</v>
      </c>
      <c r="B42" s="27" t="s">
        <v>196</v>
      </c>
      <c r="C42" s="27"/>
      <c r="D42" s="27"/>
      <c r="E42" s="27"/>
      <c r="F42" s="26"/>
      <c r="G42" s="27"/>
      <c r="H42" s="27"/>
      <c r="I42" s="79"/>
      <c r="J42"/>
    </row>
    <row r="43" spans="1:10" ht="15.75" customHeight="1" x14ac:dyDescent="0.25">
      <c r="A43" s="2" t="s">
        <v>16</v>
      </c>
      <c r="B43" s="27" t="s">
        <v>209</v>
      </c>
      <c r="C43" s="27" t="s">
        <v>197</v>
      </c>
      <c r="D43" s="27"/>
      <c r="E43" s="27"/>
      <c r="F43" s="26"/>
      <c r="G43" s="27"/>
      <c r="H43" s="27"/>
      <c r="I43" s="79"/>
      <c r="J43"/>
    </row>
    <row r="44" spans="1:10" ht="15.75" customHeight="1" x14ac:dyDescent="0.25">
      <c r="A44" s="2" t="s">
        <v>17</v>
      </c>
      <c r="B44" s="27" t="s">
        <v>197</v>
      </c>
      <c r="C44" s="27" t="s">
        <v>209</v>
      </c>
      <c r="D44" s="27"/>
      <c r="E44" s="27"/>
      <c r="F44" s="26"/>
      <c r="G44" s="27" t="s">
        <v>196</v>
      </c>
      <c r="H44" s="27"/>
      <c r="I44" s="79"/>
      <c r="J44"/>
    </row>
    <row r="45" spans="1:10" ht="15.75" customHeight="1" x14ac:dyDescent="0.25">
      <c r="A45" s="2" t="s">
        <v>18</v>
      </c>
      <c r="B45" s="27"/>
      <c r="C45" s="27"/>
      <c r="D45" s="27" t="s">
        <v>197</v>
      </c>
      <c r="E45" s="27"/>
      <c r="F45" s="26"/>
      <c r="G45" s="27" t="s">
        <v>196</v>
      </c>
      <c r="H45" s="27"/>
      <c r="I45" s="79"/>
      <c r="J45"/>
    </row>
    <row r="46" spans="1:10" ht="15.75" customHeight="1" x14ac:dyDescent="0.25">
      <c r="B46" s="14"/>
      <c r="C46" s="20"/>
      <c r="D46" s="20"/>
      <c r="E46" s="20"/>
      <c r="F46" s="20"/>
      <c r="G46" s="20"/>
      <c r="H46" s="20"/>
      <c r="J46"/>
    </row>
    <row r="47" spans="1:10" ht="15.75" customHeight="1" x14ac:dyDescent="0.25">
      <c r="A47" s="1" t="s">
        <v>39</v>
      </c>
      <c r="B47" s="1" t="s">
        <v>63</v>
      </c>
      <c r="C47" s="1" t="s">
        <v>2</v>
      </c>
      <c r="D47" s="1" t="s">
        <v>3</v>
      </c>
      <c r="E47" s="1" t="s">
        <v>56</v>
      </c>
      <c r="F47" s="1" t="s">
        <v>4</v>
      </c>
      <c r="G47" s="1" t="s">
        <v>5</v>
      </c>
      <c r="H47" s="1" t="s">
        <v>6</v>
      </c>
      <c r="I47" s="12" t="s">
        <v>166</v>
      </c>
      <c r="J47"/>
    </row>
    <row r="48" spans="1:10" ht="15.75" customHeight="1" x14ac:dyDescent="0.25">
      <c r="A48" s="2" t="s">
        <v>7</v>
      </c>
      <c r="B48" s="27"/>
      <c r="C48" s="28"/>
      <c r="D48" s="28"/>
      <c r="E48" s="27"/>
      <c r="F48" s="29"/>
      <c r="G48" s="77"/>
      <c r="H48" s="27"/>
      <c r="I48" s="81"/>
      <c r="J48"/>
    </row>
    <row r="49" spans="1:10" ht="15.75" customHeight="1" x14ac:dyDescent="0.25">
      <c r="A49" s="2" t="s">
        <v>8</v>
      </c>
      <c r="B49" s="30"/>
      <c r="C49" s="30"/>
      <c r="D49" s="31"/>
      <c r="E49" s="30"/>
      <c r="F49" s="32"/>
      <c r="G49" s="80"/>
      <c r="H49" s="30"/>
      <c r="I49" s="81"/>
      <c r="J49"/>
    </row>
    <row r="50" spans="1:10" ht="15.75" customHeight="1" x14ac:dyDescent="0.25">
      <c r="A50" s="2" t="s">
        <v>9</v>
      </c>
      <c r="B50" s="27"/>
      <c r="C50" s="27"/>
      <c r="D50" s="28"/>
      <c r="E50" s="26"/>
      <c r="F50" s="28"/>
      <c r="G50" s="28" t="s">
        <v>206</v>
      </c>
      <c r="H50" s="35" t="s">
        <v>207</v>
      </c>
      <c r="I50" s="81"/>
      <c r="J50"/>
    </row>
    <row r="51" spans="1:10" ht="15.75" customHeight="1" x14ac:dyDescent="0.25">
      <c r="A51" s="2" t="s">
        <v>10</v>
      </c>
      <c r="B51" s="27"/>
      <c r="C51" s="27"/>
      <c r="D51" s="28"/>
      <c r="E51" s="26"/>
      <c r="F51" s="34" t="s">
        <v>206</v>
      </c>
      <c r="G51" s="28"/>
      <c r="H51" s="27"/>
      <c r="I51" s="81"/>
      <c r="J51"/>
    </row>
    <row r="52" spans="1:10" ht="15.75" customHeight="1" x14ac:dyDescent="0.25">
      <c r="A52" s="2" t="s">
        <v>11</v>
      </c>
      <c r="B52" s="27"/>
      <c r="C52" s="27"/>
      <c r="D52" s="27"/>
      <c r="E52" s="27" t="s">
        <v>207</v>
      </c>
      <c r="F52" s="26"/>
      <c r="G52" s="28" t="s">
        <v>198</v>
      </c>
      <c r="H52" s="27"/>
      <c r="I52" s="81"/>
      <c r="J52"/>
    </row>
    <row r="53" spans="1:10" ht="15.75" customHeight="1" x14ac:dyDescent="0.25">
      <c r="A53" s="2" t="s">
        <v>12</v>
      </c>
      <c r="B53" s="27"/>
      <c r="C53" s="27"/>
      <c r="D53" s="27"/>
      <c r="E53" s="27"/>
      <c r="F53" s="26"/>
      <c r="G53" s="28"/>
      <c r="H53" s="27"/>
      <c r="I53" s="81"/>
      <c r="J53"/>
    </row>
    <row r="54" spans="1:10" ht="15.75" customHeight="1" x14ac:dyDescent="0.25">
      <c r="A54" s="2" t="s">
        <v>13</v>
      </c>
      <c r="B54" s="27"/>
      <c r="C54" s="27" t="s">
        <v>200</v>
      </c>
      <c r="D54" s="27"/>
      <c r="E54" s="27"/>
      <c r="F54" s="26"/>
      <c r="G54" s="28"/>
      <c r="H54" s="27"/>
      <c r="I54" s="79"/>
      <c r="J54"/>
    </row>
    <row r="55" spans="1:10" ht="15.75" customHeight="1" x14ac:dyDescent="0.25">
      <c r="A55" s="2" t="s">
        <v>14</v>
      </c>
      <c r="B55" s="27"/>
      <c r="C55" s="27" t="s">
        <v>200</v>
      </c>
      <c r="D55" s="27"/>
      <c r="E55" s="27"/>
      <c r="F55" s="26"/>
      <c r="G55" s="28" t="s">
        <v>201</v>
      </c>
      <c r="H55" s="27"/>
      <c r="I55" s="79"/>
      <c r="J55"/>
    </row>
    <row r="56" spans="1:10" ht="15.75" customHeight="1" x14ac:dyDescent="0.25">
      <c r="A56" s="2" t="s">
        <v>15</v>
      </c>
      <c r="B56" s="27"/>
      <c r="C56" s="27" t="s">
        <v>196</v>
      </c>
      <c r="D56" s="27"/>
      <c r="E56" s="27"/>
      <c r="F56" s="26"/>
      <c r="G56" s="28"/>
      <c r="H56" s="27" t="s">
        <v>199</v>
      </c>
      <c r="I56" s="79"/>
      <c r="J56"/>
    </row>
    <row r="57" spans="1:10" ht="15.75" customHeight="1" x14ac:dyDescent="0.25">
      <c r="A57" s="2" t="s">
        <v>16</v>
      </c>
      <c r="B57" s="27" t="s">
        <v>197</v>
      </c>
      <c r="C57" s="27" t="s">
        <v>209</v>
      </c>
      <c r="D57" s="27"/>
      <c r="E57" s="27"/>
      <c r="F57" s="26"/>
      <c r="G57" s="28"/>
      <c r="H57" s="27"/>
      <c r="I57" s="79"/>
      <c r="J57"/>
    </row>
    <row r="58" spans="1:10" ht="15.75" customHeight="1" x14ac:dyDescent="0.25">
      <c r="A58" s="2" t="s">
        <v>17</v>
      </c>
      <c r="B58" s="27" t="s">
        <v>209</v>
      </c>
      <c r="C58" s="27"/>
      <c r="D58" s="27"/>
      <c r="E58" s="27" t="s">
        <v>196</v>
      </c>
      <c r="F58" s="26" t="s">
        <v>197</v>
      </c>
      <c r="G58" s="28"/>
      <c r="H58" s="27"/>
      <c r="I58" s="79"/>
      <c r="J58"/>
    </row>
    <row r="59" spans="1:10" ht="15.75" customHeight="1" x14ac:dyDescent="0.25">
      <c r="A59" s="2" t="s">
        <v>18</v>
      </c>
      <c r="B59" s="27"/>
      <c r="C59" s="27"/>
      <c r="D59" s="27"/>
      <c r="E59" s="27"/>
      <c r="F59" s="26" t="s">
        <v>196</v>
      </c>
      <c r="G59" s="28"/>
      <c r="H59" s="27" t="s">
        <v>202</v>
      </c>
      <c r="I59" s="79"/>
      <c r="J59"/>
    </row>
    <row r="60" spans="1:10" ht="15.75" customHeight="1" x14ac:dyDescent="0.25">
      <c r="B60" s="20"/>
      <c r="C60" s="20"/>
      <c r="D60" s="20"/>
      <c r="E60" s="20"/>
      <c r="F60" s="20"/>
      <c r="G60" s="20"/>
      <c r="H60" s="20"/>
      <c r="J60"/>
    </row>
    <row r="61" spans="1:10" ht="15.75" customHeight="1" x14ac:dyDescent="0.25">
      <c r="B61" s="20"/>
      <c r="C61" s="20"/>
      <c r="D61" s="20"/>
      <c r="E61" s="20"/>
      <c r="F61" s="20"/>
      <c r="G61" s="20"/>
      <c r="H61" s="20"/>
      <c r="J61"/>
    </row>
    <row r="62" spans="1:10" ht="15.75" customHeight="1" x14ac:dyDescent="0.25">
      <c r="B62" s="20"/>
      <c r="C62" s="20"/>
      <c r="D62" s="20"/>
      <c r="E62" s="20"/>
      <c r="F62" s="20"/>
      <c r="G62" s="20"/>
      <c r="H62" s="20"/>
      <c r="J62"/>
    </row>
    <row r="63" spans="1:10" ht="15.75" customHeight="1" x14ac:dyDescent="0.25">
      <c r="B63" s="20"/>
      <c r="C63" s="20"/>
      <c r="D63" s="20"/>
      <c r="E63" s="20"/>
      <c r="F63" s="20"/>
      <c r="G63" s="20"/>
      <c r="H63" s="20"/>
      <c r="J63"/>
    </row>
    <row r="64" spans="1:10" ht="15.75" customHeight="1" x14ac:dyDescent="0.25">
      <c r="B64" s="20"/>
      <c r="C64" s="20"/>
      <c r="D64" s="20"/>
      <c r="E64" s="20"/>
      <c r="F64" s="20"/>
      <c r="G64" s="20"/>
      <c r="H64" s="20"/>
      <c r="J64"/>
    </row>
    <row r="65" spans="1:10" ht="15.75" customHeight="1" x14ac:dyDescent="0.25">
      <c r="B65" s="20"/>
      <c r="C65" s="20"/>
      <c r="D65" s="20"/>
      <c r="E65" s="20"/>
      <c r="F65" s="20"/>
      <c r="G65" s="20"/>
      <c r="H65" s="20"/>
      <c r="J65"/>
    </row>
    <row r="66" spans="1:10" ht="15.75" customHeight="1" x14ac:dyDescent="0.25">
      <c r="B66" s="20"/>
      <c r="C66" s="20"/>
      <c r="D66" s="20"/>
      <c r="E66" s="20"/>
      <c r="F66" s="20"/>
      <c r="G66" s="20"/>
      <c r="H66" s="20"/>
      <c r="J66"/>
    </row>
    <row r="67" spans="1:10" ht="15.75" customHeight="1" x14ac:dyDescent="0.25">
      <c r="B67" s="20"/>
      <c r="C67" s="20"/>
      <c r="D67" s="20"/>
      <c r="E67" s="20"/>
      <c r="F67" s="20"/>
      <c r="G67" s="20"/>
      <c r="H67" s="20"/>
      <c r="J67"/>
    </row>
    <row r="68" spans="1:10" ht="15.75" customHeight="1" x14ac:dyDescent="0.25">
      <c r="B68" s="20"/>
      <c r="C68" s="20"/>
      <c r="D68" s="20"/>
      <c r="E68" s="20"/>
      <c r="F68" s="20"/>
      <c r="G68" s="20"/>
      <c r="H68" s="20"/>
      <c r="J68"/>
    </row>
    <row r="69" spans="1:10" ht="15.75" customHeight="1" x14ac:dyDescent="0.25">
      <c r="B69" s="20"/>
      <c r="C69" s="20"/>
      <c r="D69" s="20"/>
      <c r="E69" s="20"/>
      <c r="F69" s="20"/>
      <c r="G69" s="20"/>
      <c r="H69" s="20"/>
      <c r="J69"/>
    </row>
    <row r="70" spans="1:10" ht="15.75" customHeight="1" x14ac:dyDescent="0.25">
      <c r="A70" s="1" t="s">
        <v>46</v>
      </c>
      <c r="B70" s="1" t="s">
        <v>65</v>
      </c>
      <c r="C70" s="1" t="s">
        <v>2</v>
      </c>
      <c r="D70" s="1" t="s">
        <v>3</v>
      </c>
      <c r="E70" s="1" t="s">
        <v>56</v>
      </c>
      <c r="F70" s="1" t="s">
        <v>4</v>
      </c>
      <c r="G70" s="1" t="s">
        <v>5</v>
      </c>
      <c r="H70" s="1" t="s">
        <v>6</v>
      </c>
      <c r="I70" s="12" t="s">
        <v>166</v>
      </c>
      <c r="J70"/>
    </row>
    <row r="71" spans="1:10" ht="15.75" customHeight="1" x14ac:dyDescent="0.25">
      <c r="A71" s="2" t="s">
        <v>7</v>
      </c>
      <c r="B71" s="27" t="s">
        <v>203</v>
      </c>
      <c r="C71" s="28"/>
      <c r="D71" s="28"/>
      <c r="E71" s="28"/>
      <c r="F71" s="34"/>
      <c r="G71" s="77"/>
      <c r="H71" s="27"/>
      <c r="I71" s="81"/>
      <c r="J71"/>
    </row>
    <row r="72" spans="1:10" ht="15.75" customHeight="1" x14ac:dyDescent="0.25">
      <c r="A72" s="2" t="s">
        <v>8</v>
      </c>
      <c r="B72" s="30" t="s">
        <v>197</v>
      </c>
      <c r="C72" s="31"/>
      <c r="D72" s="31"/>
      <c r="E72" s="28"/>
      <c r="F72" s="34"/>
      <c r="G72" s="80"/>
      <c r="H72" s="30"/>
      <c r="I72" s="81"/>
      <c r="J72"/>
    </row>
    <row r="73" spans="1:10" ht="15.75" customHeight="1" x14ac:dyDescent="0.25">
      <c r="A73" s="2" t="s">
        <v>9</v>
      </c>
      <c r="B73" s="27"/>
      <c r="C73" s="28"/>
      <c r="D73" s="28"/>
      <c r="E73" s="31"/>
      <c r="F73" s="33"/>
      <c r="G73" s="27" t="s">
        <v>206</v>
      </c>
      <c r="H73" s="27"/>
      <c r="I73" s="81"/>
      <c r="J73"/>
    </row>
    <row r="74" spans="1:10" ht="15.75" customHeight="1" x14ac:dyDescent="0.25">
      <c r="A74" s="2" t="s">
        <v>10</v>
      </c>
      <c r="B74" s="27"/>
      <c r="C74" s="28" t="s">
        <v>208</v>
      </c>
      <c r="D74" s="28"/>
      <c r="E74" s="28"/>
      <c r="F74" s="34"/>
      <c r="G74" s="27"/>
      <c r="H74" s="27"/>
      <c r="I74" s="81"/>
      <c r="J74"/>
    </row>
    <row r="75" spans="1:10" ht="15.75" customHeight="1" x14ac:dyDescent="0.25">
      <c r="A75" s="2" t="s">
        <v>11</v>
      </c>
      <c r="B75" s="27" t="s">
        <v>208</v>
      </c>
      <c r="C75" s="27"/>
      <c r="D75" s="27"/>
      <c r="E75" s="27"/>
      <c r="F75" s="26"/>
      <c r="G75" s="27"/>
      <c r="H75" s="27" t="s">
        <v>206</v>
      </c>
      <c r="I75" s="81"/>
      <c r="J75"/>
    </row>
    <row r="76" spans="1:10" ht="15.75" customHeight="1" x14ac:dyDescent="0.25">
      <c r="A76" s="2" t="s">
        <v>12</v>
      </c>
      <c r="B76" s="27"/>
      <c r="C76" s="27" t="s">
        <v>198</v>
      </c>
      <c r="D76" s="27"/>
      <c r="E76" s="36"/>
      <c r="F76" s="27"/>
      <c r="G76" s="36"/>
      <c r="H76" s="27"/>
      <c r="I76" s="81"/>
      <c r="J76"/>
    </row>
    <row r="77" spans="1:10" ht="15.75" customHeight="1" x14ac:dyDescent="0.25">
      <c r="A77" s="2" t="s">
        <v>13</v>
      </c>
      <c r="B77" s="27"/>
      <c r="C77" s="27" t="s">
        <v>200</v>
      </c>
      <c r="D77" s="27"/>
      <c r="E77" s="28"/>
      <c r="F77" s="26"/>
      <c r="G77" s="27"/>
      <c r="H77" s="27"/>
      <c r="I77" s="79"/>
      <c r="J77"/>
    </row>
    <row r="78" spans="1:10" ht="15.75" customHeight="1" x14ac:dyDescent="0.25">
      <c r="A78" s="2" t="s">
        <v>14</v>
      </c>
      <c r="B78" s="27"/>
      <c r="C78" s="27" t="s">
        <v>200</v>
      </c>
      <c r="D78" s="27" t="s">
        <v>196</v>
      </c>
      <c r="E78" s="27"/>
      <c r="F78" s="26"/>
      <c r="G78" s="27" t="s">
        <v>193</v>
      </c>
      <c r="H78" s="27" t="s">
        <v>199</v>
      </c>
      <c r="I78" s="79"/>
      <c r="J78"/>
    </row>
    <row r="79" spans="1:10" ht="15.75" customHeight="1" x14ac:dyDescent="0.25">
      <c r="A79" s="2" t="s">
        <v>15</v>
      </c>
      <c r="B79" s="27"/>
      <c r="C79" s="27"/>
      <c r="D79" s="27"/>
      <c r="E79" s="27"/>
      <c r="F79" s="26"/>
      <c r="G79" s="27" t="s">
        <v>201</v>
      </c>
      <c r="H79" s="27" t="s">
        <v>204</v>
      </c>
      <c r="I79" s="79"/>
      <c r="J79"/>
    </row>
    <row r="80" spans="1:10" ht="15.75" customHeight="1" x14ac:dyDescent="0.25">
      <c r="A80" s="2" t="s">
        <v>16</v>
      </c>
      <c r="B80" s="27"/>
      <c r="C80" s="27"/>
      <c r="D80" s="27"/>
      <c r="E80" s="27"/>
      <c r="F80" s="26"/>
      <c r="G80" s="27" t="s">
        <v>197</v>
      </c>
      <c r="H80" s="27"/>
      <c r="I80" s="79"/>
      <c r="J80"/>
    </row>
    <row r="81" spans="1:10" ht="15.75" customHeight="1" x14ac:dyDescent="0.25">
      <c r="A81" s="2" t="s">
        <v>17</v>
      </c>
      <c r="B81" s="27" t="s">
        <v>196</v>
      </c>
      <c r="C81" s="27"/>
      <c r="D81" s="27" t="s">
        <v>197</v>
      </c>
      <c r="E81" s="27"/>
      <c r="F81" s="26"/>
      <c r="G81" s="27"/>
      <c r="H81" s="27" t="s">
        <v>195</v>
      </c>
      <c r="I81" s="79"/>
      <c r="J81"/>
    </row>
    <row r="82" spans="1:10" ht="15.75" customHeight="1" x14ac:dyDescent="0.25">
      <c r="A82" s="2" t="s">
        <v>18</v>
      </c>
      <c r="B82" s="27"/>
      <c r="C82" s="27" t="s">
        <v>197</v>
      </c>
      <c r="D82" s="27"/>
      <c r="E82" s="27"/>
      <c r="F82" s="26" t="s">
        <v>196</v>
      </c>
      <c r="G82" s="27"/>
      <c r="H82" s="27"/>
      <c r="I82" s="79"/>
      <c r="J82"/>
    </row>
    <row r="83" spans="1:10" ht="15.75" customHeight="1" x14ac:dyDescent="0.25">
      <c r="B83" s="20"/>
      <c r="C83" s="20"/>
      <c r="D83" s="20"/>
      <c r="E83" s="20"/>
      <c r="F83" s="20"/>
      <c r="G83" s="20"/>
      <c r="H83" s="20"/>
      <c r="J83"/>
    </row>
    <row r="84" spans="1:10" ht="15.75" customHeight="1" x14ac:dyDescent="0.25">
      <c r="A84" s="1" t="s">
        <v>47</v>
      </c>
      <c r="B84" s="1" t="s">
        <v>63</v>
      </c>
      <c r="C84" s="1" t="s">
        <v>2</v>
      </c>
      <c r="D84" s="1" t="s">
        <v>3</v>
      </c>
      <c r="E84" s="1" t="s">
        <v>56</v>
      </c>
      <c r="F84" s="1" t="s">
        <v>4</v>
      </c>
      <c r="G84" s="1" t="s">
        <v>5</v>
      </c>
      <c r="H84" s="1" t="s">
        <v>6</v>
      </c>
      <c r="I84" s="12" t="s">
        <v>166</v>
      </c>
      <c r="J84"/>
    </row>
    <row r="85" spans="1:10" ht="15.75" customHeight="1" x14ac:dyDescent="0.25">
      <c r="A85" s="2" t="s">
        <v>7</v>
      </c>
      <c r="B85" s="27"/>
      <c r="C85" s="28"/>
      <c r="D85" s="28"/>
      <c r="E85" s="28"/>
      <c r="F85" s="34"/>
      <c r="G85" s="77"/>
      <c r="H85" s="27"/>
      <c r="I85" s="81"/>
      <c r="J85"/>
    </row>
    <row r="86" spans="1:10" ht="15.75" customHeight="1" x14ac:dyDescent="0.25">
      <c r="A86" s="2" t="s">
        <v>8</v>
      </c>
      <c r="B86" s="30"/>
      <c r="C86" s="31"/>
      <c r="D86" s="31"/>
      <c r="E86" s="28"/>
      <c r="F86" s="34"/>
      <c r="G86" s="80"/>
      <c r="H86" s="30"/>
      <c r="I86" s="81"/>
      <c r="J86"/>
    </row>
    <row r="87" spans="1:10" ht="15.75" customHeight="1" x14ac:dyDescent="0.25">
      <c r="A87" s="2" t="s">
        <v>9</v>
      </c>
      <c r="B87" s="27" t="s">
        <v>205</v>
      </c>
      <c r="C87" s="28"/>
      <c r="D87" s="28"/>
      <c r="E87" s="31"/>
      <c r="F87" s="33"/>
      <c r="G87" s="77"/>
      <c r="H87" s="27" t="s">
        <v>208</v>
      </c>
      <c r="I87" s="81"/>
      <c r="J87"/>
    </row>
    <row r="88" spans="1:10" ht="15.75" customHeight="1" x14ac:dyDescent="0.25">
      <c r="A88" s="2" t="s">
        <v>10</v>
      </c>
      <c r="B88" s="27"/>
      <c r="C88" s="28"/>
      <c r="D88" s="28"/>
      <c r="E88" s="28"/>
      <c r="F88" s="34"/>
      <c r="G88" s="77"/>
      <c r="H88" s="27" t="s">
        <v>205</v>
      </c>
      <c r="I88" s="81"/>
      <c r="J88"/>
    </row>
    <row r="89" spans="1:10" ht="15.75" customHeight="1" x14ac:dyDescent="0.25">
      <c r="A89" s="2" t="s">
        <v>11</v>
      </c>
      <c r="B89" s="27" t="s">
        <v>198</v>
      </c>
      <c r="C89" s="27"/>
      <c r="D89" s="27"/>
      <c r="E89" s="27"/>
      <c r="F89" s="26" t="s">
        <v>208</v>
      </c>
      <c r="G89" s="77"/>
      <c r="H89" s="27"/>
      <c r="I89" s="81"/>
      <c r="J89"/>
    </row>
    <row r="90" spans="1:10" ht="15.75" customHeight="1" x14ac:dyDescent="0.25">
      <c r="A90" s="2" t="s">
        <v>12</v>
      </c>
      <c r="B90" s="27"/>
      <c r="C90" s="27"/>
      <c r="D90" s="27"/>
      <c r="E90" s="28"/>
      <c r="F90" s="26"/>
      <c r="G90" s="77"/>
      <c r="H90" s="27" t="s">
        <v>199</v>
      </c>
      <c r="I90" s="81"/>
      <c r="J90"/>
    </row>
    <row r="91" spans="1:10" ht="15.75" customHeight="1" x14ac:dyDescent="0.25">
      <c r="A91" s="2" t="s">
        <v>13</v>
      </c>
      <c r="B91" s="27"/>
      <c r="C91" s="27"/>
      <c r="D91" s="27"/>
      <c r="E91" s="27"/>
      <c r="F91" s="26"/>
      <c r="G91" s="28"/>
      <c r="H91" s="27"/>
      <c r="I91" s="79"/>
      <c r="J91"/>
    </row>
    <row r="92" spans="1:10" ht="15.75" customHeight="1" x14ac:dyDescent="0.25">
      <c r="A92" s="2" t="s">
        <v>14</v>
      </c>
      <c r="B92" s="27"/>
      <c r="C92" s="27" t="s">
        <v>200</v>
      </c>
      <c r="D92" s="27" t="s">
        <v>196</v>
      </c>
      <c r="E92" s="27"/>
      <c r="F92" s="26"/>
      <c r="G92" s="27"/>
      <c r="H92" s="27"/>
      <c r="I92" s="79"/>
      <c r="J92"/>
    </row>
    <row r="93" spans="1:10" ht="15.75" customHeight="1" x14ac:dyDescent="0.25">
      <c r="A93" s="2" t="s">
        <v>15</v>
      </c>
      <c r="B93" s="27"/>
      <c r="C93" s="27" t="s">
        <v>196</v>
      </c>
      <c r="D93" s="27"/>
      <c r="E93" s="27"/>
      <c r="F93" s="26"/>
      <c r="G93" s="27"/>
      <c r="H93" s="27"/>
      <c r="I93" s="79"/>
      <c r="J93"/>
    </row>
    <row r="94" spans="1:10" ht="15.75" customHeight="1" x14ac:dyDescent="0.25">
      <c r="A94" s="2" t="s">
        <v>16</v>
      </c>
      <c r="B94" s="27"/>
      <c r="C94" s="27" t="s">
        <v>193</v>
      </c>
      <c r="D94" s="27"/>
      <c r="E94" s="27"/>
      <c r="F94" s="26"/>
      <c r="G94" s="27" t="s">
        <v>197</v>
      </c>
      <c r="H94" s="27"/>
      <c r="I94" s="79"/>
      <c r="J94"/>
    </row>
    <row r="95" spans="1:10" ht="15.75" customHeight="1" x14ac:dyDescent="0.25">
      <c r="A95" s="2" t="s">
        <v>17</v>
      </c>
      <c r="B95" s="27"/>
      <c r="C95" s="27" t="s">
        <v>197</v>
      </c>
      <c r="D95" s="27"/>
      <c r="E95" s="27"/>
      <c r="F95" s="26"/>
      <c r="G95" s="27" t="s">
        <v>196</v>
      </c>
      <c r="H95" s="27"/>
      <c r="I95" s="79"/>
      <c r="J95"/>
    </row>
    <row r="96" spans="1:10" ht="15.75" customHeight="1" x14ac:dyDescent="0.25">
      <c r="A96" s="2" t="s">
        <v>18</v>
      </c>
      <c r="B96" s="27"/>
      <c r="C96" s="27" t="s">
        <v>197</v>
      </c>
      <c r="D96" s="27" t="s">
        <v>193</v>
      </c>
      <c r="E96" s="27"/>
      <c r="F96" s="26"/>
      <c r="G96" s="27" t="s">
        <v>196</v>
      </c>
      <c r="H96" s="27"/>
      <c r="I96" s="79"/>
      <c r="J96"/>
    </row>
    <row r="97" spans="1:16" ht="15.75" customHeight="1" x14ac:dyDescent="0.25">
      <c r="B97" s="20"/>
      <c r="C97" s="20"/>
      <c r="D97" s="20"/>
      <c r="E97" s="20"/>
      <c r="F97" s="20"/>
      <c r="G97" s="20"/>
      <c r="H97" s="20"/>
      <c r="J97"/>
    </row>
    <row r="98" spans="1:16" ht="15.75" customHeight="1" x14ac:dyDescent="0.25">
      <c r="A98" s="1" t="s">
        <v>48</v>
      </c>
      <c r="B98" s="1" t="s">
        <v>63</v>
      </c>
      <c r="C98" s="1" t="s">
        <v>2</v>
      </c>
      <c r="D98" s="1" t="s">
        <v>3</v>
      </c>
      <c r="E98" s="1" t="s">
        <v>64</v>
      </c>
      <c r="F98" s="1" t="s">
        <v>4</v>
      </c>
      <c r="G98" s="1" t="s">
        <v>5</v>
      </c>
      <c r="H98" s="1" t="s">
        <v>6</v>
      </c>
      <c r="I98" s="12" t="s">
        <v>166</v>
      </c>
      <c r="J98"/>
    </row>
    <row r="99" spans="1:16" ht="15.75" customHeight="1" x14ac:dyDescent="0.25">
      <c r="A99" s="2" t="s">
        <v>7</v>
      </c>
      <c r="B99" s="27"/>
      <c r="C99" s="28"/>
      <c r="D99" s="28" t="s">
        <v>192</v>
      </c>
      <c r="E99" s="28"/>
      <c r="F99" s="34" t="s">
        <v>203</v>
      </c>
      <c r="G99" s="77"/>
      <c r="H99" s="27"/>
      <c r="I99" s="81"/>
      <c r="J99"/>
    </row>
    <row r="100" spans="1:16" ht="15.75" customHeight="1" x14ac:dyDescent="0.25">
      <c r="A100" s="2" t="s">
        <v>8</v>
      </c>
      <c r="B100" s="30"/>
      <c r="C100" s="31"/>
      <c r="D100" s="31"/>
      <c r="E100" s="28"/>
      <c r="F100" s="34"/>
      <c r="G100" s="80"/>
      <c r="H100" s="30" t="s">
        <v>192</v>
      </c>
      <c r="I100" s="81"/>
      <c r="J100"/>
    </row>
    <row r="101" spans="1:16" ht="15.75" customHeight="1" x14ac:dyDescent="0.25">
      <c r="A101" s="2" t="s">
        <v>9</v>
      </c>
      <c r="B101" s="27"/>
      <c r="C101" s="28"/>
      <c r="D101" s="28"/>
      <c r="E101" s="31" t="s">
        <v>205</v>
      </c>
      <c r="F101" s="33"/>
      <c r="G101" s="77"/>
      <c r="H101" s="27" t="s">
        <v>192</v>
      </c>
      <c r="I101" s="81"/>
      <c r="J101"/>
    </row>
    <row r="102" spans="1:16" ht="15.75" customHeight="1" x14ac:dyDescent="0.25">
      <c r="A102" s="2" t="s">
        <v>10</v>
      </c>
      <c r="B102" s="27"/>
      <c r="C102" s="28" t="s">
        <v>205</v>
      </c>
      <c r="D102" s="28"/>
      <c r="E102" s="28"/>
      <c r="F102" s="34"/>
      <c r="G102" s="77"/>
      <c r="H102" s="27" t="s">
        <v>192</v>
      </c>
      <c r="I102" s="81"/>
      <c r="J102"/>
    </row>
    <row r="103" spans="1:16" ht="15.75" customHeight="1" x14ac:dyDescent="0.25">
      <c r="A103" s="2" t="s">
        <v>11</v>
      </c>
      <c r="B103" s="27"/>
      <c r="C103" s="27"/>
      <c r="D103" s="27"/>
      <c r="E103" s="27"/>
      <c r="F103" s="26"/>
      <c r="G103" s="77"/>
      <c r="H103" s="27"/>
      <c r="I103" s="81"/>
      <c r="J103"/>
    </row>
    <row r="104" spans="1:16" ht="15.75" customHeight="1" x14ac:dyDescent="0.25">
      <c r="A104" s="2" t="s">
        <v>12</v>
      </c>
      <c r="B104" s="27"/>
      <c r="C104" s="27" t="s">
        <v>208</v>
      </c>
      <c r="D104" s="27"/>
      <c r="E104" s="28"/>
      <c r="F104" s="26"/>
      <c r="G104" s="77"/>
      <c r="H104" s="27"/>
      <c r="I104" s="81"/>
      <c r="J104"/>
    </row>
    <row r="105" spans="1:16" ht="15.75" customHeight="1" x14ac:dyDescent="0.25">
      <c r="A105" s="2" t="s">
        <v>13</v>
      </c>
      <c r="B105" s="27"/>
      <c r="C105" s="27" t="s">
        <v>200</v>
      </c>
      <c r="D105" s="27"/>
      <c r="E105" s="27"/>
      <c r="F105" s="26"/>
      <c r="G105" s="28"/>
      <c r="H105" s="27"/>
      <c r="I105" s="79"/>
      <c r="J105"/>
    </row>
    <row r="106" spans="1:16" ht="15.75" customHeight="1" x14ac:dyDescent="0.25">
      <c r="A106" s="2" t="s">
        <v>14</v>
      </c>
      <c r="B106" s="27"/>
      <c r="C106" s="27"/>
      <c r="D106" s="27"/>
      <c r="E106" s="27"/>
      <c r="F106" s="26"/>
      <c r="G106" s="27"/>
      <c r="H106" s="27" t="s">
        <v>195</v>
      </c>
      <c r="I106" s="79"/>
      <c r="J106"/>
    </row>
    <row r="107" spans="1:16" ht="15.75" customHeight="1" x14ac:dyDescent="0.25">
      <c r="A107" s="2" t="s">
        <v>15</v>
      </c>
      <c r="B107" s="27"/>
      <c r="C107" s="27"/>
      <c r="D107" s="27"/>
      <c r="E107" s="27"/>
      <c r="F107" s="26"/>
      <c r="G107" s="27"/>
      <c r="H107" s="27"/>
      <c r="I107" s="79"/>
      <c r="J107"/>
    </row>
    <row r="108" spans="1:16" ht="15.75" customHeight="1" x14ac:dyDescent="0.25">
      <c r="A108" s="2" t="s">
        <v>16</v>
      </c>
      <c r="B108" s="27"/>
      <c r="C108" s="27"/>
      <c r="D108" s="27"/>
      <c r="E108" s="27"/>
      <c r="F108" s="26" t="s">
        <v>193</v>
      </c>
      <c r="G108" s="27"/>
      <c r="H108" s="27"/>
      <c r="I108" s="79"/>
      <c r="J108"/>
    </row>
    <row r="109" spans="1:16" ht="15.75" customHeight="1" x14ac:dyDescent="0.25">
      <c r="A109" s="2" t="s">
        <v>17</v>
      </c>
      <c r="B109" s="27"/>
      <c r="C109" s="27"/>
      <c r="D109" s="27"/>
      <c r="E109" s="27"/>
      <c r="F109" s="26"/>
      <c r="G109" s="27"/>
      <c r="H109" s="27"/>
      <c r="I109" s="79"/>
      <c r="J109"/>
    </row>
    <row r="110" spans="1:16" ht="15.75" customHeight="1" x14ac:dyDescent="0.25">
      <c r="A110" s="2" t="s">
        <v>18</v>
      </c>
      <c r="B110" s="27"/>
      <c r="C110" s="27"/>
      <c r="D110" s="27"/>
      <c r="E110" s="27"/>
      <c r="F110" s="26"/>
      <c r="G110" s="27"/>
      <c r="H110" s="27"/>
      <c r="I110" s="79"/>
      <c r="J110"/>
    </row>
    <row r="111" spans="1:16" ht="15.75" customHeight="1" x14ac:dyDescent="0.25">
      <c r="I111" s="14"/>
      <c r="J111" s="5"/>
      <c r="K111" s="5"/>
      <c r="L111" s="5"/>
      <c r="M111" s="5"/>
      <c r="N111" s="5"/>
      <c r="O111" s="6"/>
    </row>
    <row r="112" spans="1:16" ht="15.75" customHeight="1" x14ac:dyDescent="0.25">
      <c r="K112" s="3"/>
      <c r="L112" s="7"/>
      <c r="M112" s="3"/>
      <c r="N112" s="3"/>
      <c r="O112" s="3"/>
      <c r="P112" s="3"/>
    </row>
    <row r="113" spans="1:16" ht="15.75" customHeight="1" x14ac:dyDescent="0.25">
      <c r="K113" s="3"/>
      <c r="L113" s="7"/>
      <c r="M113" s="3"/>
      <c r="N113" s="3"/>
      <c r="O113" s="3"/>
      <c r="P113" s="3"/>
    </row>
    <row r="114" spans="1:16" ht="15.75" customHeight="1" x14ac:dyDescent="0.25">
      <c r="K114" s="3"/>
      <c r="L114" s="7"/>
      <c r="M114" s="3"/>
      <c r="N114" s="3"/>
      <c r="O114" s="3"/>
      <c r="P114" s="3"/>
    </row>
    <row r="115" spans="1:16" ht="15.75" customHeight="1" x14ac:dyDescent="0.25">
      <c r="K115" s="3"/>
      <c r="L115" s="3"/>
      <c r="M115" s="3"/>
      <c r="N115" s="3"/>
      <c r="O115" s="3"/>
      <c r="P115" s="3"/>
    </row>
    <row r="116" spans="1:16" ht="15.75" customHeight="1" x14ac:dyDescent="0.25">
      <c r="K116" s="3"/>
      <c r="L116" s="3"/>
      <c r="M116" s="3"/>
      <c r="N116" s="3"/>
      <c r="O116" s="3"/>
      <c r="P116" s="3"/>
    </row>
    <row r="117" spans="1:16" ht="15.75" customHeight="1" x14ac:dyDescent="0.25">
      <c r="K117" s="3"/>
      <c r="L117" s="3"/>
      <c r="M117" s="3"/>
      <c r="O117" s="3"/>
      <c r="P117" s="3"/>
    </row>
    <row r="118" spans="1:16" ht="15.75" customHeight="1" x14ac:dyDescent="0.25">
      <c r="K118" s="3"/>
      <c r="L118" s="3"/>
      <c r="M118" s="3"/>
      <c r="N118" s="3"/>
      <c r="O118" s="3"/>
      <c r="P118" s="3"/>
    </row>
    <row r="119" spans="1:16" ht="15.75" customHeight="1" x14ac:dyDescent="0.25">
      <c r="L119" s="3"/>
      <c r="M119" s="3"/>
      <c r="N119" s="3"/>
      <c r="O119" s="3"/>
      <c r="P119" s="3"/>
    </row>
    <row r="120" spans="1:16" ht="15.75" customHeight="1" x14ac:dyDescent="0.25">
      <c r="L120" s="3"/>
      <c r="N120" s="3"/>
      <c r="O120" s="3"/>
      <c r="P120" s="3"/>
    </row>
    <row r="121" spans="1:16" ht="15.75" customHeight="1" x14ac:dyDescent="0.25">
      <c r="A121" s="4"/>
      <c r="B121" s="4"/>
      <c r="C121" s="4"/>
      <c r="D121" s="4"/>
      <c r="E121" s="4"/>
      <c r="F121" s="4"/>
      <c r="G121" s="4"/>
      <c r="H121" s="4"/>
      <c r="I121" s="16"/>
      <c r="L121" s="3"/>
      <c r="N121" s="3"/>
      <c r="O121" s="3"/>
      <c r="P121" s="3"/>
    </row>
    <row r="122" spans="1:16" ht="15.75" customHeight="1" x14ac:dyDescent="0.25">
      <c r="A122" s="4"/>
      <c r="B122" s="4"/>
      <c r="C122" s="4"/>
      <c r="D122" s="4"/>
      <c r="E122" s="4"/>
      <c r="F122" s="4"/>
      <c r="G122" s="4"/>
      <c r="H122" s="4"/>
      <c r="I122" s="16"/>
      <c r="L122" s="3"/>
      <c r="M122" s="5"/>
      <c r="N122" s="3"/>
      <c r="O122" s="3"/>
      <c r="P122" s="3"/>
    </row>
    <row r="123" spans="1:16" ht="15.75" customHeight="1" x14ac:dyDescent="0.25">
      <c r="A123" s="4"/>
      <c r="B123" s="4"/>
      <c r="C123" s="4"/>
      <c r="D123" s="4"/>
      <c r="E123" s="4"/>
      <c r="F123" s="4"/>
      <c r="G123" s="8"/>
      <c r="H123" s="4"/>
      <c r="I123" s="16"/>
      <c r="L123" s="3"/>
      <c r="M123" s="3"/>
      <c r="N123" s="3"/>
      <c r="O123" s="3"/>
      <c r="P123" s="3"/>
    </row>
    <row r="124" spans="1:16" ht="15.75" customHeight="1" x14ac:dyDescent="0.25">
      <c r="A124" s="4"/>
      <c r="B124" s="4"/>
      <c r="C124" s="4"/>
      <c r="D124" s="4"/>
      <c r="E124" s="4"/>
      <c r="F124" s="4"/>
      <c r="G124" s="8"/>
      <c r="H124" s="4"/>
      <c r="I124" s="16"/>
      <c r="K124" s="7"/>
      <c r="L124" s="3"/>
      <c r="M124" s="3"/>
      <c r="N124" s="3"/>
    </row>
    <row r="125" spans="1:16" ht="15.75" customHeight="1" x14ac:dyDescent="0.25">
      <c r="A125" s="4"/>
      <c r="B125" s="4"/>
      <c r="C125" s="4"/>
      <c r="D125" s="4"/>
      <c r="E125" s="4"/>
      <c r="F125" s="4"/>
      <c r="G125" s="4"/>
      <c r="H125" s="4"/>
      <c r="I125" s="16"/>
      <c r="L125" s="3"/>
      <c r="M125" s="3"/>
      <c r="N125" s="3"/>
      <c r="O125" s="9"/>
    </row>
    <row r="126" spans="1:16" ht="15.75" customHeight="1" x14ac:dyDescent="0.25">
      <c r="A126" s="4"/>
      <c r="B126" s="4"/>
      <c r="C126" s="4"/>
      <c r="D126" s="4"/>
      <c r="E126" s="4"/>
      <c r="F126" s="4"/>
      <c r="G126" s="4"/>
      <c r="H126" s="4"/>
      <c r="I126" s="16"/>
      <c r="L126" s="3"/>
      <c r="M126" s="3"/>
      <c r="N126" s="3"/>
    </row>
    <row r="127" spans="1:16" ht="15.75" customHeight="1" x14ac:dyDescent="0.25">
      <c r="A127" s="4"/>
      <c r="B127" s="4"/>
      <c r="C127" s="4"/>
      <c r="D127" s="4"/>
      <c r="E127" s="4"/>
      <c r="F127" s="4"/>
      <c r="G127" s="4"/>
      <c r="H127" s="4"/>
      <c r="I127" s="16"/>
      <c r="L127" s="3"/>
      <c r="M127" s="3"/>
      <c r="N127" s="3"/>
    </row>
    <row r="128" spans="1:16" ht="15.75" customHeight="1" x14ac:dyDescent="0.25">
      <c r="A128" s="4"/>
      <c r="B128" s="4"/>
      <c r="C128" s="4"/>
      <c r="D128" s="4"/>
      <c r="E128" s="4"/>
      <c r="F128" s="4"/>
      <c r="G128" s="4"/>
      <c r="H128" s="4"/>
      <c r="I128" s="16"/>
      <c r="L128" s="3"/>
      <c r="M128" s="3"/>
      <c r="N128" s="3"/>
    </row>
    <row r="129" spans="1:14" ht="15.75" customHeight="1" x14ac:dyDescent="0.25">
      <c r="A129" s="4"/>
      <c r="B129" s="4"/>
      <c r="C129" s="4"/>
      <c r="D129" s="4"/>
      <c r="E129" s="4"/>
      <c r="F129" s="4"/>
      <c r="G129" s="4"/>
      <c r="H129" s="4"/>
      <c r="I129" s="16"/>
      <c r="L129" s="3"/>
      <c r="M129" s="3"/>
      <c r="N129" s="3"/>
    </row>
    <row r="130" spans="1:14" ht="15.75" customHeight="1" x14ac:dyDescent="0.25">
      <c r="I130" s="15"/>
      <c r="L130" s="3"/>
    </row>
    <row r="131" spans="1:14" ht="15.75" customHeight="1" x14ac:dyDescent="0.25">
      <c r="I131" s="15"/>
    </row>
    <row r="132" spans="1:14" ht="15.75" customHeight="1" x14ac:dyDescent="0.25">
      <c r="I132" s="15"/>
    </row>
    <row r="133" spans="1:14" ht="15.75" customHeight="1" x14ac:dyDescent="0.25">
      <c r="I133" s="15"/>
    </row>
    <row r="134" spans="1:14" ht="15.75" customHeight="1" x14ac:dyDescent="0.25">
      <c r="I134" s="15"/>
    </row>
    <row r="135" spans="1:14" ht="15.75" customHeight="1" x14ac:dyDescent="0.25">
      <c r="I135" s="15"/>
    </row>
    <row r="136" spans="1:14" ht="15.75" customHeight="1" x14ac:dyDescent="0.25">
      <c r="I136" s="15"/>
    </row>
    <row r="137" spans="1:14" ht="15.75" customHeight="1" x14ac:dyDescent="0.25">
      <c r="I137" s="15"/>
    </row>
    <row r="138" spans="1:14" ht="15.75" customHeight="1" x14ac:dyDescent="0.25">
      <c r="I138" s="15"/>
    </row>
    <row r="139" spans="1:14" ht="15.75" customHeight="1" x14ac:dyDescent="0.25">
      <c r="I139" s="15"/>
    </row>
    <row r="140" spans="1:14" ht="15.75" customHeight="1" x14ac:dyDescent="0.25">
      <c r="I140" s="15"/>
    </row>
    <row r="141" spans="1:14" ht="15.75" customHeight="1" x14ac:dyDescent="0.25">
      <c r="I141" s="15"/>
    </row>
    <row r="142" spans="1:14" ht="15.75" customHeight="1" x14ac:dyDescent="0.25">
      <c r="I142" s="15"/>
    </row>
    <row r="143" spans="1:14" ht="15.75" customHeight="1" x14ac:dyDescent="0.25">
      <c r="I143" s="15"/>
    </row>
    <row r="144" spans="1:14" ht="15.75" customHeight="1" x14ac:dyDescent="0.25">
      <c r="I144" s="15"/>
    </row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</sheetData>
  <conditionalFormatting sqref="B90:I90">
    <cfRule type="duplicateValues" dxfId="118" priority="640" stopIfTrue="1"/>
  </conditionalFormatting>
  <conditionalFormatting sqref="B96:I96">
    <cfRule type="duplicateValues" dxfId="117" priority="655" stopIfTrue="1"/>
  </conditionalFormatting>
  <conditionalFormatting sqref="B12:I12">
    <cfRule type="duplicateValues" dxfId="116" priority="308"/>
  </conditionalFormatting>
  <conditionalFormatting sqref="B6:I6">
    <cfRule type="duplicateValues" dxfId="115" priority="1"/>
  </conditionalFormatting>
  <conditionalFormatting sqref="B13:I13">
    <cfRule type="duplicateValues" dxfId="114" priority="310" stopIfTrue="1"/>
  </conditionalFormatting>
  <conditionalFormatting sqref="B14:I14">
    <cfRule type="duplicateValues" dxfId="113" priority="313"/>
  </conditionalFormatting>
  <conditionalFormatting sqref="B16:I16">
    <cfRule type="duplicateValues" dxfId="112" priority="332"/>
  </conditionalFormatting>
  <conditionalFormatting sqref="B17:I17">
    <cfRule type="duplicateValues" dxfId="111" priority="333"/>
  </conditionalFormatting>
  <conditionalFormatting sqref="B25:I25">
    <cfRule type="duplicateValues" dxfId="110" priority="370"/>
  </conditionalFormatting>
  <conditionalFormatting sqref="B27:I27">
    <cfRule type="duplicateValues" dxfId="109" priority="375"/>
  </conditionalFormatting>
  <conditionalFormatting sqref="B28:I28">
    <cfRule type="duplicateValues" dxfId="108" priority="377"/>
  </conditionalFormatting>
  <conditionalFormatting sqref="B29:I29">
    <cfRule type="duplicateValues" dxfId="107" priority="380" stopIfTrue="1"/>
  </conditionalFormatting>
  <conditionalFormatting sqref="B30:I30">
    <cfRule type="duplicateValues" dxfId="106" priority="382" stopIfTrue="1"/>
  </conditionalFormatting>
  <conditionalFormatting sqref="B31:I31">
    <cfRule type="duplicateValues" dxfId="105" priority="384" stopIfTrue="1"/>
  </conditionalFormatting>
  <conditionalFormatting sqref="B20:I20">
    <cfRule type="duplicateValues" dxfId="104" priority="364"/>
  </conditionalFormatting>
  <conditionalFormatting sqref="B21:I21">
    <cfRule type="duplicateValues" dxfId="103" priority="365"/>
  </conditionalFormatting>
  <conditionalFormatting sqref="B22:I22">
    <cfRule type="duplicateValues" dxfId="102" priority="366"/>
  </conditionalFormatting>
  <conditionalFormatting sqref="B35:I35">
    <cfRule type="duplicateValues" dxfId="101" priority="426"/>
  </conditionalFormatting>
  <conditionalFormatting sqref="B36:I36">
    <cfRule type="duplicateValues" dxfId="100" priority="431"/>
  </conditionalFormatting>
  <conditionalFormatting sqref="B38:I38">
    <cfRule type="duplicateValues" dxfId="99" priority="437"/>
  </conditionalFormatting>
  <conditionalFormatting sqref="B39:I39">
    <cfRule type="duplicateValues" dxfId="98" priority="439"/>
  </conditionalFormatting>
  <conditionalFormatting sqref="B40:I40">
    <cfRule type="duplicateValues" dxfId="97" priority="444"/>
  </conditionalFormatting>
  <conditionalFormatting sqref="B41:I41">
    <cfRule type="duplicateValues" dxfId="96" priority="449" stopIfTrue="1"/>
  </conditionalFormatting>
  <conditionalFormatting sqref="B34:I34">
    <cfRule type="duplicateValues" dxfId="95" priority="424"/>
  </conditionalFormatting>
  <conditionalFormatting sqref="B37:I37">
    <cfRule type="duplicateValues" dxfId="94" priority="434"/>
  </conditionalFormatting>
  <conditionalFormatting sqref="B42:I42">
    <cfRule type="duplicateValues" dxfId="93" priority="459"/>
  </conditionalFormatting>
  <conditionalFormatting sqref="B43:I43">
    <cfRule type="duplicateValues" dxfId="92" priority="460"/>
  </conditionalFormatting>
  <conditionalFormatting sqref="B44:I44">
    <cfRule type="duplicateValues" dxfId="91" priority="461"/>
  </conditionalFormatting>
  <conditionalFormatting sqref="B45:I45">
    <cfRule type="duplicateValues" dxfId="90" priority="462"/>
  </conditionalFormatting>
  <conditionalFormatting sqref="B52:I52">
    <cfRule type="duplicateValues" dxfId="89" priority="498" stopIfTrue="1"/>
  </conditionalFormatting>
  <conditionalFormatting sqref="B53:I53">
    <cfRule type="duplicateValues" dxfId="88" priority="499"/>
  </conditionalFormatting>
  <conditionalFormatting sqref="B54:I54">
    <cfRule type="duplicateValues" dxfId="87" priority="501"/>
  </conditionalFormatting>
  <conditionalFormatting sqref="B55:I55">
    <cfRule type="duplicateValues" dxfId="86" priority="505" stopIfTrue="1"/>
  </conditionalFormatting>
  <conditionalFormatting sqref="B56:I56">
    <cfRule type="duplicateValues" dxfId="85" priority="506"/>
  </conditionalFormatting>
  <conditionalFormatting sqref="B57:I57">
    <cfRule type="duplicateValues" dxfId="84" priority="508"/>
  </conditionalFormatting>
  <conditionalFormatting sqref="B58:I58">
    <cfRule type="duplicateValues" dxfId="83" priority="511" stopIfTrue="1"/>
  </conditionalFormatting>
  <conditionalFormatting sqref="B59:I59">
    <cfRule type="duplicateValues" dxfId="82" priority="512"/>
  </conditionalFormatting>
  <conditionalFormatting sqref="B51:I51">
    <cfRule type="duplicateValues" dxfId="81" priority="496"/>
  </conditionalFormatting>
  <conditionalFormatting sqref="B48:I48">
    <cfRule type="duplicateValues" dxfId="80" priority="493"/>
  </conditionalFormatting>
  <conditionalFormatting sqref="B49:I49">
    <cfRule type="duplicateValues" dxfId="79" priority="494"/>
  </conditionalFormatting>
  <conditionalFormatting sqref="B50:I50">
    <cfRule type="duplicateValues" dxfId="78" priority="495"/>
  </conditionalFormatting>
  <conditionalFormatting sqref="B71:I71">
    <cfRule type="duplicateValues" dxfId="77" priority="592"/>
  </conditionalFormatting>
  <conditionalFormatting sqref="B74:I74">
    <cfRule type="duplicateValues" dxfId="76" priority="605"/>
  </conditionalFormatting>
  <conditionalFormatting sqref="B75:I75">
    <cfRule type="duplicateValues" dxfId="75" priority="608" stopIfTrue="1"/>
  </conditionalFormatting>
  <conditionalFormatting sqref="B81:I81">
    <cfRule type="duplicateValues" dxfId="74" priority="650"/>
  </conditionalFormatting>
  <conditionalFormatting sqref="B82:I82">
    <cfRule type="duplicateValues" dxfId="73" priority="651" stopIfTrue="1"/>
  </conditionalFormatting>
  <conditionalFormatting sqref="B85:I85">
    <cfRule type="duplicateValues" dxfId="72" priority="42"/>
  </conditionalFormatting>
  <conditionalFormatting sqref="B88:I88">
    <cfRule type="duplicateValues" dxfId="71" priority="616"/>
  </conditionalFormatting>
  <conditionalFormatting sqref="B89:I89">
    <cfRule type="duplicateValues" dxfId="70" priority="618"/>
  </conditionalFormatting>
  <conditionalFormatting sqref="B102:I102">
    <cfRule type="duplicateValues" dxfId="69" priority="632"/>
  </conditionalFormatting>
  <conditionalFormatting sqref="B103:I103">
    <cfRule type="duplicateValues" dxfId="68" priority="633"/>
  </conditionalFormatting>
  <conditionalFormatting sqref="B104:I104">
    <cfRule type="duplicateValues" dxfId="67" priority="645" stopIfTrue="1"/>
  </conditionalFormatting>
  <conditionalFormatting sqref="B105:I105">
    <cfRule type="duplicateValues" dxfId="66" priority="646"/>
  </conditionalFormatting>
  <conditionalFormatting sqref="B72:I72">
    <cfRule type="duplicateValues" dxfId="65" priority="599"/>
  </conditionalFormatting>
  <conditionalFormatting sqref="B73:I73">
    <cfRule type="duplicateValues" dxfId="64" priority="602"/>
  </conditionalFormatting>
  <conditionalFormatting sqref="B78:I78">
    <cfRule type="duplicateValues" dxfId="63" priority="639"/>
  </conditionalFormatting>
  <conditionalFormatting sqref="B86:I86">
    <cfRule type="duplicateValues" dxfId="62" priority="73"/>
  </conditionalFormatting>
  <conditionalFormatting sqref="B87:I87">
    <cfRule type="duplicateValues" dxfId="61" priority="609"/>
  </conditionalFormatting>
  <conditionalFormatting sqref="B100:I100">
    <cfRule type="duplicateValues" dxfId="60" priority="625"/>
  </conditionalFormatting>
  <conditionalFormatting sqref="B101:I101">
    <cfRule type="duplicateValues" dxfId="59" priority="629"/>
  </conditionalFormatting>
  <conditionalFormatting sqref="B108:I108">
    <cfRule type="duplicateValues" dxfId="58" priority="658"/>
  </conditionalFormatting>
  <conditionalFormatting sqref="B80:I80">
    <cfRule type="duplicateValues" dxfId="57" priority="649"/>
  </conditionalFormatting>
  <conditionalFormatting sqref="B79:I79">
    <cfRule type="duplicateValues" dxfId="56" priority="648"/>
  </conditionalFormatting>
  <conditionalFormatting sqref="B76:I76">
    <cfRule type="duplicateValues" dxfId="55" priority="637"/>
  </conditionalFormatting>
  <conditionalFormatting sqref="B77:I77">
    <cfRule type="duplicateValues" dxfId="54" priority="638"/>
  </conditionalFormatting>
  <conditionalFormatting sqref="B91:I91">
    <cfRule type="duplicateValues" dxfId="53" priority="641"/>
  </conditionalFormatting>
  <conditionalFormatting sqref="B92:I92">
    <cfRule type="duplicateValues" dxfId="52" priority="643"/>
  </conditionalFormatting>
  <conditionalFormatting sqref="B93:I93">
    <cfRule type="duplicateValues" dxfId="51" priority="652"/>
  </conditionalFormatting>
  <conditionalFormatting sqref="B94:I94">
    <cfRule type="duplicateValues" dxfId="50" priority="653"/>
  </conditionalFormatting>
  <conditionalFormatting sqref="B95:I95">
    <cfRule type="duplicateValues" dxfId="49" priority="654"/>
  </conditionalFormatting>
  <conditionalFormatting sqref="B106:I106">
    <cfRule type="duplicateValues" dxfId="48" priority="647"/>
  </conditionalFormatting>
  <conditionalFormatting sqref="B107:I107">
    <cfRule type="duplicateValues" dxfId="47" priority="657"/>
  </conditionalFormatting>
  <conditionalFormatting sqref="B109:I109">
    <cfRule type="duplicateValues" dxfId="46" priority="659"/>
  </conditionalFormatting>
  <conditionalFormatting sqref="B110:I110">
    <cfRule type="duplicateValues" dxfId="45" priority="660"/>
  </conditionalFormatting>
  <conditionalFormatting sqref="B7:I7">
    <cfRule type="duplicateValues" dxfId="44" priority="295"/>
  </conditionalFormatting>
  <conditionalFormatting sqref="B8:I8">
    <cfRule type="duplicateValues" dxfId="43" priority="297"/>
  </conditionalFormatting>
  <conditionalFormatting sqref="B9:I9">
    <cfRule type="duplicateValues" dxfId="42" priority="299" stopIfTrue="1"/>
  </conditionalFormatting>
  <conditionalFormatting sqref="B10:I10">
    <cfRule type="duplicateValues" dxfId="41" priority="302"/>
  </conditionalFormatting>
  <conditionalFormatting sqref="B11:I11">
    <cfRule type="duplicateValues" dxfId="40" priority="305"/>
  </conditionalFormatting>
  <conditionalFormatting sqref="B15:I15">
    <cfRule type="duplicateValues" dxfId="39" priority="330"/>
  </conditionalFormatting>
  <conditionalFormatting sqref="B23:I23">
    <cfRule type="duplicateValues" dxfId="38" priority="367"/>
  </conditionalFormatting>
  <conditionalFormatting sqref="B24:I24">
    <cfRule type="duplicateValues" dxfId="37" priority="368"/>
  </conditionalFormatting>
  <conditionalFormatting sqref="B26:I26">
    <cfRule type="duplicateValues" dxfId="36" priority="372"/>
  </conditionalFormatting>
  <conditionalFormatting sqref="B99:I99">
    <cfRule type="duplicateValues" dxfId="35" priority="620"/>
  </conditionalFormatting>
  <printOptions horizontalCentered="1"/>
  <pageMargins left="0.7" right="0.7" top="0.5" bottom="0.75" header="0.3" footer="0.3"/>
  <pageSetup scale="75" fitToWidth="0" fitToHeight="0" orientation="portrait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999"/>
  <sheetViews>
    <sheetView view="pageLayout" zoomScaleNormal="100" workbookViewId="0"/>
  </sheetViews>
  <sheetFormatPr defaultColWidth="13.5703125" defaultRowHeight="15" customHeight="1" x14ac:dyDescent="0.2"/>
  <cols>
    <col min="1" max="4" width="12.85546875" style="57" customWidth="1"/>
    <col min="5" max="5" width="13.5703125" style="57" customWidth="1"/>
    <col min="6" max="6" width="12.85546875" style="57" customWidth="1"/>
    <col min="7" max="7" width="12.7109375" style="57" customWidth="1"/>
    <col min="8" max="8" width="13.140625" style="57" customWidth="1"/>
    <col min="9" max="9" width="8.7109375" style="57" customWidth="1"/>
    <col min="10" max="16384" width="13.5703125" style="57"/>
  </cols>
  <sheetData>
    <row r="1" spans="1:9" x14ac:dyDescent="0.2">
      <c r="A1" s="1" t="s">
        <v>0</v>
      </c>
      <c r="B1" s="1" t="s">
        <v>63</v>
      </c>
      <c r="C1" s="1" t="s">
        <v>2</v>
      </c>
      <c r="D1" s="1" t="s">
        <v>3</v>
      </c>
      <c r="E1" s="1" t="s">
        <v>56</v>
      </c>
      <c r="F1" s="1" t="s">
        <v>4</v>
      </c>
      <c r="G1" s="11" t="s">
        <v>5</v>
      </c>
      <c r="H1" s="12" t="s">
        <v>6</v>
      </c>
    </row>
    <row r="2" spans="1:9" ht="14.25" x14ac:dyDescent="0.2">
      <c r="A2" s="10" t="s">
        <v>7</v>
      </c>
      <c r="B2" s="82" t="str">
        <f>IF('2026'!B6&lt;&gt;"", '2026'!B6, "")</f>
        <v/>
      </c>
      <c r="C2" s="82" t="str">
        <f>IF('2026'!C6&lt;&gt;"", '2026'!C6, "")</f>
        <v/>
      </c>
      <c r="D2" s="82" t="str">
        <f>IF('2026'!D6&lt;&gt;"", '2026'!D6, "")</f>
        <v/>
      </c>
      <c r="E2" s="82" t="str">
        <f>IF('2026'!E6&lt;&gt;"", '2026'!E6, "")</f>
        <v/>
      </c>
      <c r="F2" s="82" t="str">
        <f>IF('2026'!F6&lt;&gt;"", '2026'!F6, "")</f>
        <v/>
      </c>
      <c r="G2" s="83" t="str">
        <f>IF('2026'!G6&lt;&gt;"", '2026'!G6, "")</f>
        <v/>
      </c>
      <c r="H2" s="82" t="str">
        <f>IF('2026'!H6&lt;&gt;"", '2026'!H6, "")</f>
        <v/>
      </c>
    </row>
    <row r="3" spans="1:9" ht="14.25" x14ac:dyDescent="0.2">
      <c r="A3" s="10" t="s">
        <v>8</v>
      </c>
      <c r="B3" s="82" t="str">
        <f>IF('2026'!B7&lt;&gt;"", '2026'!B7, "")</f>
        <v/>
      </c>
      <c r="C3" s="82" t="str">
        <f>IF('2026'!C7&lt;&gt;"", '2026'!C7, "")</f>
        <v>FLEN/NORI</v>
      </c>
      <c r="D3" s="82" t="str">
        <f>IF('2026'!D7&lt;&gt;"", '2026'!D7, "")</f>
        <v/>
      </c>
      <c r="E3" s="82" t="str">
        <f>IF('2026'!E7&lt;&gt;"", '2026'!E7, "")</f>
        <v/>
      </c>
      <c r="F3" s="82" t="str">
        <f>IF('2026'!F7&lt;&gt;"", '2026'!F7, "")</f>
        <v/>
      </c>
      <c r="G3" s="83" t="str">
        <f>IF('2026'!G7&lt;&gt;"", '2026'!G7, "")</f>
        <v/>
      </c>
      <c r="H3" s="82" t="str">
        <f>IF('2026'!H7&lt;&gt;"", '2026'!H7, "")</f>
        <v/>
      </c>
    </row>
    <row r="4" spans="1:9" ht="14.25" x14ac:dyDescent="0.2">
      <c r="A4" s="10" t="s">
        <v>9</v>
      </c>
      <c r="B4" s="82" t="str">
        <f>IF('2026'!B8&lt;&gt;"", '2026'!B8, "")</f>
        <v/>
      </c>
      <c r="C4" s="82" t="str">
        <f>IF('2026'!C8&lt;&gt;"", '2026'!C8, "")</f>
        <v/>
      </c>
      <c r="D4" s="82" t="str">
        <f>IF('2026'!D8&lt;&gt;"", '2026'!D8, "")</f>
        <v/>
      </c>
      <c r="E4" s="82" t="str">
        <f>IF('2026'!E8&lt;&gt;"", '2026'!E8, "")</f>
        <v/>
      </c>
      <c r="F4" s="82" t="str">
        <f>IF('2026'!F8&lt;&gt;"", '2026'!F8, "")</f>
        <v/>
      </c>
      <c r="G4" s="82" t="str">
        <f>IF('2026'!G8&lt;&gt;"", '2026'!G8, "")</f>
        <v>KELL</v>
      </c>
      <c r="H4" s="82" t="str">
        <f>IF('2026'!H8&lt;&gt;"", '2026'!H8, "")</f>
        <v>FLEN/NORI</v>
      </c>
    </row>
    <row r="5" spans="1:9" ht="14.25" x14ac:dyDescent="0.2">
      <c r="A5" s="10" t="s">
        <v>10</v>
      </c>
      <c r="B5" s="82" t="str">
        <f>IF('2026'!B9&lt;&gt;"", '2026'!B9, "")</f>
        <v>KELL</v>
      </c>
      <c r="C5" s="82" t="str">
        <f>IF('2026'!C9&lt;&gt;"", '2026'!C9, "")</f>
        <v/>
      </c>
      <c r="D5" s="82" t="str">
        <f>IF('2026'!D9&lt;&gt;"", '2026'!D9, "")</f>
        <v/>
      </c>
      <c r="E5" s="82" t="str">
        <f>IF('2026'!E9&lt;&gt;"", '2026'!E9, "")</f>
        <v>DUKE</v>
      </c>
      <c r="F5" s="82" t="str">
        <f>IF('2026'!F9&lt;&gt;"", '2026'!F9, "")</f>
        <v/>
      </c>
      <c r="G5" s="82" t="str">
        <f>IF('2026'!G9&lt;&gt;"", '2026'!G9, "")</f>
        <v>HROB</v>
      </c>
      <c r="H5" s="82" t="str">
        <f>IF('2026'!H9&lt;&gt;"", '2026'!H9, "")</f>
        <v>FLEN/NORI</v>
      </c>
    </row>
    <row r="6" spans="1:9" ht="14.25" x14ac:dyDescent="0.2">
      <c r="A6" s="10" t="s">
        <v>11</v>
      </c>
      <c r="B6" s="82" t="str">
        <f>IF('2026'!B10&lt;&gt;"", '2026'!B10, "")</f>
        <v/>
      </c>
      <c r="C6" s="82" t="str">
        <f>IF('2026'!C10&lt;&gt;"", '2026'!C10, "")</f>
        <v/>
      </c>
      <c r="D6" s="82" t="str">
        <f>IF('2026'!D10&lt;&gt;"", '2026'!D10, "")</f>
        <v>HROB</v>
      </c>
      <c r="E6" s="82" t="str">
        <f>IF('2026'!E10&lt;&gt;"", '2026'!E10, "")</f>
        <v/>
      </c>
      <c r="F6" s="82" t="str">
        <f>IF('2026'!F10&lt;&gt;"", '2026'!F10, "")</f>
        <v>DUKE</v>
      </c>
      <c r="G6" s="82" t="str">
        <f>IF('2026'!G10&lt;&gt;"", '2026'!G10, "")</f>
        <v/>
      </c>
      <c r="H6" s="82" t="str">
        <f>IF('2026'!H10&lt;&gt;"", '2026'!H10, "")</f>
        <v>FLEN/NORI</v>
      </c>
    </row>
    <row r="7" spans="1:9" ht="14.25" x14ac:dyDescent="0.2">
      <c r="A7" s="10" t="s">
        <v>12</v>
      </c>
      <c r="B7" s="82" t="str">
        <f>IF('2026'!B11&lt;&gt;"", '2026'!B11, "")</f>
        <v/>
      </c>
      <c r="C7" s="82" t="str">
        <f>IF('2026'!C11&lt;&gt;"", '2026'!C11, "")</f>
        <v/>
      </c>
      <c r="D7" s="82" t="str">
        <f>IF('2026'!D11&lt;&gt;"", '2026'!D11, "")</f>
        <v/>
      </c>
      <c r="E7" s="82" t="str">
        <f>IF('2026'!E11&lt;&gt;"", '2026'!E11, "")</f>
        <v/>
      </c>
      <c r="F7" s="82" t="str">
        <f>IF('2026'!F11&lt;&gt;"", '2026'!F11, "")</f>
        <v/>
      </c>
      <c r="G7" s="82" t="str">
        <f>IF('2026'!G11&lt;&gt;"", '2026'!G11, "")</f>
        <v/>
      </c>
      <c r="H7" s="82" t="str">
        <f>IF('2026'!H11&lt;&gt;"", '2026'!H11, "")</f>
        <v/>
      </c>
    </row>
    <row r="8" spans="1:9" ht="14.25" x14ac:dyDescent="0.2">
      <c r="A8" s="10" t="s">
        <v>13</v>
      </c>
      <c r="B8" s="82" t="str">
        <f>IF('2026'!B12&lt;&gt;"", '2026'!B12, "")</f>
        <v/>
      </c>
      <c r="C8" s="82" t="str">
        <f>IF('2026'!C12&lt;&gt;"", '2026'!C12, "")</f>
        <v/>
      </c>
      <c r="D8" s="82" t="str">
        <f>IF('2026'!D12&lt;&gt;"", '2026'!D12, "")</f>
        <v/>
      </c>
      <c r="E8" s="82" t="str">
        <f>IF('2026'!E12&lt;&gt;"", '2026'!E12, "")</f>
        <v/>
      </c>
      <c r="F8" s="82" t="str">
        <f>IF('2026'!F12&lt;&gt;"", '2026'!F12, "")</f>
        <v/>
      </c>
      <c r="G8" s="82" t="str">
        <f>IF('2026'!G12&lt;&gt;"", '2026'!G12, "")</f>
        <v/>
      </c>
      <c r="H8" s="82" t="str">
        <f>IF('2026'!H12&lt;&gt;"", '2026'!H12, "")</f>
        <v/>
      </c>
    </row>
    <row r="9" spans="1:9" ht="14.25" x14ac:dyDescent="0.2">
      <c r="A9" s="10" t="s">
        <v>14</v>
      </c>
      <c r="B9" s="82" t="str">
        <f>IF('2026'!B13&lt;&gt;"", '2026'!B13, "")</f>
        <v/>
      </c>
      <c r="C9" s="82" t="str">
        <f>IF('2026'!C13&lt;&gt;"", '2026'!C13, "")</f>
        <v>JLEA/WATS</v>
      </c>
      <c r="D9" s="82" t="str">
        <f>IF('2026'!D13&lt;&gt;"", '2026'!D13, "")</f>
        <v/>
      </c>
      <c r="E9" s="82" t="str">
        <f>IF('2026'!E13&lt;&gt;"", '2026'!E13, "")</f>
        <v/>
      </c>
      <c r="F9" s="82" t="str">
        <f>IF('2026'!F13&lt;&gt;"", '2026'!F13, "")</f>
        <v/>
      </c>
      <c r="G9" s="82" t="str">
        <f>IF('2026'!G13&lt;&gt;"", '2026'!G13, "")</f>
        <v/>
      </c>
      <c r="H9" s="82" t="str">
        <f>IF('2026'!H13&lt;&gt;"", '2026'!H13, "")</f>
        <v/>
      </c>
    </row>
    <row r="10" spans="1:9" ht="14.25" x14ac:dyDescent="0.2">
      <c r="A10" s="10" t="s">
        <v>15</v>
      </c>
      <c r="B10" s="82" t="str">
        <f>IF('2026'!B14&lt;&gt;"", '2026'!B14, "")</f>
        <v/>
      </c>
      <c r="C10" s="82" t="str">
        <f>IF('2026'!C14&lt;&gt;"", '2026'!C14, "")</f>
        <v>JLEA</v>
      </c>
      <c r="D10" s="82" t="str">
        <f>IF('2026'!D14&lt;&gt;"", '2026'!D14, "")</f>
        <v/>
      </c>
      <c r="E10" s="82" t="str">
        <f>IF('2026'!E14&lt;&gt;"", '2026'!E14, "")</f>
        <v/>
      </c>
      <c r="F10" s="82" t="str">
        <f>IF('2026'!F14&lt;&gt;"", '2026'!F14, "")</f>
        <v/>
      </c>
      <c r="G10" s="82" t="str">
        <f>IF('2026'!G14&lt;&gt;"", '2026'!G14, "")</f>
        <v/>
      </c>
      <c r="H10" s="82" t="str">
        <f>IF('2026'!H14&lt;&gt;"", '2026'!H14, "")</f>
        <v>WATS</v>
      </c>
    </row>
    <row r="11" spans="1:9" ht="14.25" x14ac:dyDescent="0.2">
      <c r="A11" s="10" t="s">
        <v>16</v>
      </c>
      <c r="B11" s="82" t="str">
        <f>IF('2026'!B15&lt;&gt;"", '2026'!B15, "")</f>
        <v/>
      </c>
      <c r="C11" s="82" t="str">
        <f>IF('2026'!C15&lt;&gt;"", '2026'!C15, "")</f>
        <v/>
      </c>
      <c r="D11" s="82" t="str">
        <f>IF('2026'!D15&lt;&gt;"", '2026'!D15, "")</f>
        <v/>
      </c>
      <c r="E11" s="82" t="str">
        <f>IF('2026'!E15&lt;&gt;"", '2026'!E15, "")</f>
        <v/>
      </c>
      <c r="F11" s="82" t="str">
        <f>IF('2026'!F15&lt;&gt;"", '2026'!F15, "")</f>
        <v/>
      </c>
      <c r="G11" s="82" t="str">
        <f>IF('2026'!G15&lt;&gt;"", '2026'!G15, "")</f>
        <v/>
      </c>
      <c r="H11" s="82" t="str">
        <f>IF('2026'!H15&lt;&gt;"", '2026'!H15, "")</f>
        <v/>
      </c>
    </row>
    <row r="12" spans="1:9" ht="14.25" x14ac:dyDescent="0.2">
      <c r="A12" s="10" t="s">
        <v>17</v>
      </c>
      <c r="B12" s="82" t="str">
        <f>IF('2026'!B16&lt;&gt;"", '2026'!B16, "")</f>
        <v>LILL</v>
      </c>
      <c r="C12" s="82" t="str">
        <f>IF('2026'!C16&lt;&gt;"", '2026'!C16, "")</f>
        <v/>
      </c>
      <c r="D12" s="82" t="str">
        <f>IF('2026'!D16&lt;&gt;"", '2026'!D16, "")</f>
        <v/>
      </c>
      <c r="E12" s="82" t="str">
        <f>IF('2026'!E16&lt;&gt;"", '2026'!E16, "")</f>
        <v/>
      </c>
      <c r="F12" s="82" t="str">
        <f>IF('2026'!F16&lt;&gt;"", '2026'!F16, "")</f>
        <v/>
      </c>
      <c r="G12" s="82" t="str">
        <f>IF('2026'!G16&lt;&gt;"", '2026'!G16, "")</f>
        <v/>
      </c>
      <c r="H12" s="82" t="str">
        <f>IF('2026'!H16&lt;&gt;"", '2026'!H16, "")</f>
        <v/>
      </c>
    </row>
    <row r="13" spans="1:9" ht="14.25" x14ac:dyDescent="0.2">
      <c r="A13" s="10" t="s">
        <v>18</v>
      </c>
      <c r="B13" s="82" t="str">
        <f>IF('2026'!B17&lt;&gt;"", '2026'!B17, "")</f>
        <v/>
      </c>
      <c r="C13" s="82" t="str">
        <f>IF('2026'!C17&lt;&gt;"", '2026'!C17, "")</f>
        <v/>
      </c>
      <c r="D13" s="82" t="str">
        <f>IF('2026'!D17&lt;&gt;"", '2026'!D17, "")</f>
        <v/>
      </c>
      <c r="E13" s="82" t="str">
        <f>IF('2026'!E17&lt;&gt;"", '2026'!E17, "")</f>
        <v/>
      </c>
      <c r="F13" s="82" t="str">
        <f>IF('2026'!F17&lt;&gt;"", '2026'!F17, "")</f>
        <v/>
      </c>
      <c r="G13" s="82" t="str">
        <f>IF('2026'!G17&lt;&gt;"", '2026'!G17, "")</f>
        <v/>
      </c>
      <c r="H13" s="82" t="str">
        <f>IF('2026'!H17&lt;&gt;"", '2026'!H17, "")</f>
        <v/>
      </c>
    </row>
    <row r="14" spans="1:9" ht="13.5" customHeight="1" x14ac:dyDescent="0.2">
      <c r="A14" s="52" t="s">
        <v>20</v>
      </c>
      <c r="B14" s="52" t="s">
        <v>21</v>
      </c>
      <c r="C14" s="52" t="s">
        <v>22</v>
      </c>
      <c r="D14" s="53" t="s">
        <v>19</v>
      </c>
      <c r="E14" s="52" t="s">
        <v>24</v>
      </c>
      <c r="F14" s="61"/>
      <c r="G14" s="61"/>
      <c r="H14" s="61"/>
    </row>
    <row r="15" spans="1:9" ht="13.5" customHeight="1" x14ac:dyDescent="0.2">
      <c r="A15" s="55" t="str" cm="1">
        <f t="array" ref="A15">IFERROR(INDEX(A_SHIFT_ESDS,1),"")</f>
        <v>Lydia Valdez</v>
      </c>
      <c r="B15" s="54" t="str" cm="1">
        <f t="array" ref="B15">IFERROR(INDEX(B_SHIFT_ESDS,1),"")</f>
        <v>Tania Keller</v>
      </c>
      <c r="C15" s="54" t="str" cm="1">
        <f t="array" ref="C15">IFERROR(INDEX(C_SHIFT_ESDS,1),"")</f>
        <v>Allison Carter</v>
      </c>
      <c r="D15" s="54" t="str" cm="1">
        <f t="array" ref="D15">IFERROR(INDEX(E_SHIFT_ESDS,1),"")</f>
        <v>Jessica Leatherwood</v>
      </c>
      <c r="E15" s="54" t="str" cm="1">
        <f t="array" ref="E15">IFERROR(INDEX(F_SHIFT_ESDS,1),"")</f>
        <v>Susan Miller</v>
      </c>
      <c r="F15" s="61"/>
      <c r="G15" s="62"/>
      <c r="I15" s="63"/>
    </row>
    <row r="16" spans="1:9" ht="13.5" customHeight="1" x14ac:dyDescent="0.2">
      <c r="A16" s="55" t="str" cm="1">
        <f t="array" ref="A16">IFERROR(INDEX(A_SHIFT_ESDS,2),"")</f>
        <v>Cheri Smith</v>
      </c>
      <c r="B16" s="54" t="str" cm="1">
        <f t="array" ref="B16">IFERROR(INDEX(B_SHIFT_ESDS,2),"")</f>
        <v>Suzette Schlundt</v>
      </c>
      <c r="C16" s="54" t="str" cm="1">
        <f t="array" ref="C16">IFERROR(INDEX(C_SHIFT_ESDS,2),"")</f>
        <v>Ami Muro</v>
      </c>
      <c r="D16" s="54" t="str" cm="1">
        <f t="array" ref="D16">IFERROR(INDEX(E_SHIFT_ESDS,2),"")</f>
        <v>Sarah Ringer</v>
      </c>
      <c r="E16" s="54" t="str" cm="1">
        <f t="array" ref="E16">IFERROR(INDEX(F_SHIFT_ESDS,2),"")</f>
        <v xml:space="preserve">Tami Worden     </v>
      </c>
      <c r="G16" s="13"/>
    </row>
    <row r="17" spans="1:8" ht="13.5" customHeight="1" x14ac:dyDescent="0.2">
      <c r="A17" s="55" t="str" cm="1">
        <f t="array" ref="A17">IFERROR(INDEX(A_SHIFT_ESDS,3),"")</f>
        <v>Patty O’Grady</v>
      </c>
      <c r="B17" s="54" t="str" cm="1">
        <f t="array" ref="B17">IFERROR(INDEX(B_SHIFT_ESDS,3),"")</f>
        <v>Brenda Morgantini</v>
      </c>
      <c r="C17" s="54" t="str" cm="1">
        <f t="array" ref="C17">IFERROR(INDEX(C_SHIFT_ESDS,3),"")</f>
        <v>Mathew Hackney</v>
      </c>
      <c r="D17" s="54" t="str" cm="1">
        <f t="array" ref="D17">IFERROR(INDEX(E_SHIFT_ESDS,3),"")</f>
        <v>Nozomi Vasquez</v>
      </c>
      <c r="E17" s="54" t="str" cm="1">
        <f t="array" ref="E17">IFERROR(INDEX(F_SHIFT_ESDS,3),"")</f>
        <v>Nyia Vang</v>
      </c>
      <c r="G17" s="13"/>
    </row>
    <row r="18" spans="1:8" ht="13.5" customHeight="1" x14ac:dyDescent="0.2">
      <c r="A18" s="55" t="str" cm="1">
        <f t="array" ref="A18">IFERROR(INDEX(A_SHIFT_ESDS,4),"")</f>
        <v>Matt Sonderegger</v>
      </c>
      <c r="B18" s="54" t="str" cm="1">
        <f t="array" ref="B18">IFERROR(INDEX(B_SHIFT_ESDS,4),"")</f>
        <v>Zer Yang</v>
      </c>
      <c r="C18" s="54" t="str" cm="1">
        <f t="array" ref="C18">IFERROR(INDEX(C_SHIFT_ESDS,4),"")</f>
        <v>Sofia Ruelas</v>
      </c>
      <c r="D18" s="54" t="str" cm="1">
        <f t="array" ref="D18">IFERROR(INDEX(E_SHIFT_ESDS,4),"")</f>
        <v>Kelly Wiens</v>
      </c>
      <c r="E18" s="54" t="str" cm="1">
        <f t="array" ref="E18">IFERROR(INDEX(F_SHIFT_ESDS,4),"")</f>
        <v>Elexis Scott</v>
      </c>
      <c r="G18" s="86" t="s">
        <v>151</v>
      </c>
      <c r="H18" s="86"/>
    </row>
    <row r="19" spans="1:8" ht="13.5" customHeight="1" x14ac:dyDescent="0.2">
      <c r="A19" s="55" t="str" cm="1">
        <f t="array" ref="A19">IFERROR(INDEX(A_SHIFT_ESDS,5),"")</f>
        <v>Lorraine Flenory</v>
      </c>
      <c r="B19" s="54" t="str" cm="1">
        <f t="array" ref="B19">IFERROR(INDEX(B_SHIFT_ESDS,5),"")</f>
        <v>Rina Rosales</v>
      </c>
      <c r="C19" s="54" cm="1">
        <f t="array" ref="C19">IFERROR(INDEX(C_SHIFT_ESDS,5),"")</f>
        <v>0</v>
      </c>
      <c r="D19" s="54" t="str" cm="1">
        <f t="array" ref="D19">IFERROR(INDEX(E_SHIFT_ESDS,5),"")</f>
        <v>Melissa Joint</v>
      </c>
      <c r="E19" s="54" t="str" cm="1">
        <f t="array" ref="E19">IFERROR(INDEX(F_SHIFT_ESDS,5),"")</f>
        <v>Lauren Lilly</v>
      </c>
      <c r="F19" s="74">
        <v>730</v>
      </c>
      <c r="G19" s="56"/>
      <c r="H19" s="23"/>
    </row>
    <row r="20" spans="1:8" ht="13.5" customHeight="1" x14ac:dyDescent="0.2">
      <c r="A20" s="55" t="str" cm="1">
        <f t="array" ref="A20">IFERROR(INDEX(A_SHIFT_ESDS,6),"")</f>
        <v>Jodi Garland</v>
      </c>
      <c r="B20" s="54" t="str" cm="1">
        <f t="array" ref="B20">IFERROR(INDEX(B_SHIFT_ESDS,6),"")</f>
        <v>Norma Garvey</v>
      </c>
      <c r="C20" s="54" cm="1">
        <f t="array" ref="C20">IFERROR(INDEX(C_SHIFT_ESDS,6),"")</f>
        <v>0</v>
      </c>
      <c r="D20" s="54" t="str" cm="1">
        <f t="array" ref="D20">IFERROR(INDEX(E_SHIFT_ESDS,6),"")</f>
        <v>Bianca Hernandez</v>
      </c>
      <c r="E20" s="54" t="str" cm="1">
        <f t="array" ref="E20">IFERROR(INDEX(F_SHIFT_ESDS,6),"")</f>
        <v>Kimberly Lott</v>
      </c>
      <c r="F20" s="74">
        <v>930</v>
      </c>
      <c r="G20" s="56"/>
      <c r="H20" s="23"/>
    </row>
    <row r="21" spans="1:8" ht="13.5" customHeight="1" x14ac:dyDescent="0.2">
      <c r="A21" s="55" t="str" cm="1">
        <f t="array" ref="A21">IFERROR(INDEX(A_SHIFT_ESDS,7),"")</f>
        <v>Monica Ramirez</v>
      </c>
      <c r="B21" s="54" t="str" cm="1">
        <f t="array" ref="B21">IFERROR(INDEX(B_SHIFT_ESDS,7),"")</f>
        <v>Lori Brown</v>
      </c>
      <c r="C21" s="54" cm="1">
        <f t="array" ref="C21">IFERROR(INDEX(C_SHIFT_ESDS,7),"")</f>
        <v>0</v>
      </c>
      <c r="D21" s="54" t="str" cm="1">
        <f t="array" ref="D21">IFERROR(INDEX(E_SHIFT_ESDS,7),"")</f>
        <v>Paola Barrientos</v>
      </c>
      <c r="E21" s="54" t="str" cm="1">
        <f t="array" ref="E21">IFERROR(INDEX(F_SHIFT_ESDS,7),"")</f>
        <v>Mariah Rosales</v>
      </c>
      <c r="F21" s="56">
        <v>1130</v>
      </c>
      <c r="G21" s="56"/>
      <c r="H21" s="23"/>
    </row>
    <row r="22" spans="1:8" ht="13.5" customHeight="1" x14ac:dyDescent="0.2">
      <c r="A22" s="55" t="str" cm="1">
        <f t="array" ref="A22">IFERROR(INDEX(A_SHIFT_ESDS,8),"")</f>
        <v>Jamielyn Shwetzer</v>
      </c>
      <c r="B22" s="54" t="str" cm="1">
        <f t="array" ref="B22">IFERROR(INDEX(B_SHIFT_ESDS,8),"")</f>
        <v xml:space="preserve">Heidi Roberts </v>
      </c>
      <c r="C22" s="54" cm="1">
        <f t="array" ref="C22">IFERROR(INDEX(C_SHIFT_ESDS,8),"")</f>
        <v>0</v>
      </c>
      <c r="D22" s="54" t="str" cm="1">
        <f t="array" ref="D22">IFERROR(INDEX(E_SHIFT_ESDS,8),"")</f>
        <v>Jason Yang</v>
      </c>
      <c r="E22" s="54" t="str" cm="1">
        <f t="array" ref="E22">IFERROR(INDEX(F_SHIFT_ESDS,8),"")</f>
        <v>Raquel Salazar</v>
      </c>
      <c r="F22" s="56">
        <v>1330</v>
      </c>
      <c r="G22" s="56"/>
      <c r="H22" s="23"/>
    </row>
    <row r="23" spans="1:8" ht="13.5" customHeight="1" x14ac:dyDescent="0.2">
      <c r="A23" s="55" t="str" cm="1">
        <f t="array" ref="A23">IFERROR(INDEX(A_SHIFT_ESDS,9),"")</f>
        <v>Valeria Guzman</v>
      </c>
      <c r="B23" s="54" t="str" cm="1">
        <f t="array" ref="B23">IFERROR(INDEX(B_SHIFT_ESDS,9),"")</f>
        <v>Rebekah Isquierdo</v>
      </c>
      <c r="C23" s="54" cm="1">
        <f t="array" ref="C23">IFERROR(INDEX(C_SHIFT_ESDS,9),"")</f>
        <v>0</v>
      </c>
      <c r="D23" s="54" t="str" cm="1">
        <f t="array" ref="D23">IFERROR(INDEX(E_SHIFT_ESDS,9),"")</f>
        <v>Adrienne Rodriguez</v>
      </c>
      <c r="E23" s="54" t="str" cm="1">
        <f t="array" ref="E23">IFERROR(INDEX(F_SHIFT_ESDS,9),"")</f>
        <v>Jorge Alcorn</v>
      </c>
      <c r="F23" s="56">
        <v>1530</v>
      </c>
      <c r="G23" s="56"/>
      <c r="H23" s="23"/>
    </row>
    <row r="24" spans="1:8" ht="13.5" customHeight="1" x14ac:dyDescent="0.2">
      <c r="A24" s="55" t="str" cm="1">
        <f t="array" ref="A24">IFERROR(INDEX(A_SHIFT_ESDS,10),"")</f>
        <v>Mindy Mcclung</v>
      </c>
      <c r="B24" s="54" t="str" cm="1">
        <f t="array" ref="B24">IFERROR(INDEX(B_SHIFT_ESDS,10),"")</f>
        <v>Darlene Foell</v>
      </c>
      <c r="C24" s="54" cm="1">
        <f t="array" ref="C24">IFERROR(INDEX(C_SHIFT_ESDS,10),"")</f>
        <v>0</v>
      </c>
      <c r="D24" s="54" t="str" cm="1">
        <f t="array" ref="D24">IFERROR(INDEX(E_SHIFT_ESDS,10),"")</f>
        <v>Adriana Dedios</v>
      </c>
      <c r="E24" s="54" t="str" cm="1">
        <f t="array" ref="E24">IFERROR(INDEX(F_SHIFT_ESDS,10),"")</f>
        <v>Jasmine Gomez</v>
      </c>
      <c r="F24" s="56">
        <v>1730</v>
      </c>
      <c r="G24" s="56"/>
      <c r="H24" s="23"/>
    </row>
    <row r="25" spans="1:8" ht="13.5" customHeight="1" x14ac:dyDescent="0.2">
      <c r="A25" s="55" t="str" cm="1">
        <f t="array" ref="A25">IFERROR(INDEX(A_SHIFT_ESDS,11),"")</f>
        <v>Alexis Yandell</v>
      </c>
      <c r="B25" s="54" t="str" cm="1">
        <f t="array" ref="B25">IFERROR(INDEX(B_SHIFT_ESDS,11),"")</f>
        <v>Markey Blankenship</v>
      </c>
      <c r="C25" s="54" cm="1">
        <f t="array" ref="C25">IFERROR(INDEX(C_SHIFT_ESDS,11),"")</f>
        <v>0</v>
      </c>
      <c r="D25" s="54" t="str" cm="1">
        <f t="array" ref="D25">IFERROR(INDEX(E_SHIFT_ESDS,11),"")</f>
        <v>Dulcivet Garcia</v>
      </c>
      <c r="E25" s="54" t="str" cm="1">
        <f t="array" ref="E25">IFERROR(INDEX(F_SHIFT_ESDS,11),"")</f>
        <v>April Ponce</v>
      </c>
      <c r="F25" s="74">
        <v>1930</v>
      </c>
      <c r="G25" s="56"/>
      <c r="H25" s="23"/>
    </row>
    <row r="26" spans="1:8" ht="13.5" customHeight="1" x14ac:dyDescent="0.2">
      <c r="A26" s="55" t="str" cm="1">
        <f t="array" ref="A26">IFERROR(INDEX(A_SHIFT_ESDS,12),"")</f>
        <v>Marrie Sip</v>
      </c>
      <c r="B26" s="54" t="str" cm="1">
        <f t="array" ref="B26">IFERROR(INDEX(B_SHIFT_ESDS,12),"")</f>
        <v>Sonam Carter</v>
      </c>
      <c r="C26" s="54" cm="1">
        <f t="array" ref="C26">IFERROR(INDEX(C_SHIFT_ESDS,12),"")</f>
        <v>0</v>
      </c>
      <c r="D26" s="54" t="str" cm="1">
        <f t="array" ref="D26">IFERROR(INDEX(E_SHIFT_ESDS,12),"")</f>
        <v>Susie Amezcua</v>
      </c>
      <c r="E26" s="54" t="str" cm="1">
        <f t="array" ref="E26">IFERROR(INDEX(F_SHIFT_ESDS,12),"")</f>
        <v>Curt Barrow</v>
      </c>
      <c r="F26" s="74">
        <v>2130</v>
      </c>
      <c r="G26" s="56"/>
      <c r="H26" s="23"/>
    </row>
    <row r="27" spans="1:8" ht="13.5" customHeight="1" x14ac:dyDescent="0.2">
      <c r="A27" s="55" t="str" cm="1">
        <f t="array" ref="A27">IFERROR(INDEX(A_SHIFT_ESDS,13),"")</f>
        <v>Chelsea Meave</v>
      </c>
      <c r="B27" s="54" t="str" cm="1">
        <f t="array" ref="B27">IFERROR(INDEX(B_SHIFT_ESDS,13),"")</f>
        <v xml:space="preserve">Jessica Dukes </v>
      </c>
      <c r="C27" s="54" cm="1">
        <f t="array" ref="C27">IFERROR(INDEX(C_SHIFT_ESDS,13),"")</f>
        <v>0</v>
      </c>
      <c r="D27" s="54" t="str" cm="1">
        <f t="array" ref="D27">IFERROR(INDEX(E_SHIFT_ESDS,13),"")</f>
        <v>Nathanly Rodriguez</v>
      </c>
      <c r="E27" s="54" t="str" cm="1">
        <f t="array" ref="E27">IFERROR(INDEX(F_SHIFT_ESDS,13),"")</f>
        <v>Stephanie Rojas</v>
      </c>
      <c r="F27" s="74">
        <v>2330</v>
      </c>
      <c r="G27" s="56"/>
      <c r="H27" s="23"/>
    </row>
    <row r="28" spans="1:8" ht="13.5" customHeight="1" x14ac:dyDescent="0.2">
      <c r="A28" s="55" t="str" cm="1">
        <f t="array" ref="A28">IFERROR(INDEX(A_SHIFT_ESDS,14),"")</f>
        <v>Gwen Anzaldo</v>
      </c>
      <c r="B28" s="54" t="str" cm="1">
        <f t="array" ref="B28">IFERROR(INDEX(B_SHIFT_ESDS,14),"")</f>
        <v xml:space="preserve">Sarah Fraley </v>
      </c>
      <c r="C28" s="54" cm="1">
        <f t="array" ref="C28">IFERROR(INDEX(C_SHIFT_ESDS,14),"")</f>
        <v>0</v>
      </c>
      <c r="D28" s="54" t="str" cm="1">
        <f t="array" ref="D28">IFERROR(INDEX(E_SHIFT_ESDS,14),"")</f>
        <v>Akilah Mccullough</v>
      </c>
      <c r="E28" s="54" t="str" cm="1">
        <f t="array" ref="E28">IFERROR(INDEX(F_SHIFT_ESDS,14),"")</f>
        <v>Mark Teixeira</v>
      </c>
      <c r="F28" s="56">
        <v>130</v>
      </c>
      <c r="G28" s="56"/>
      <c r="H28" s="23"/>
    </row>
    <row r="29" spans="1:8" ht="13.5" customHeight="1" x14ac:dyDescent="0.2">
      <c r="A29" s="55" t="str" cm="1">
        <f t="array" ref="A29">IFERROR(INDEX(A_SHIFT_ESDS,15),"")</f>
        <v>Robert Noriega</v>
      </c>
      <c r="B29" s="54" t="str" cm="1">
        <f t="array" ref="B29">IFERROR(INDEX(B_SHIFT_ESDS,15),"")</f>
        <v>Josephine Botello</v>
      </c>
      <c r="C29" s="54" cm="1">
        <f t="array" ref="C29">IFERROR(INDEX(C_SHIFT_ESDS,15),"")</f>
        <v>0</v>
      </c>
      <c r="D29" s="54" t="str" cm="1">
        <f t="array" ref="D29">IFERROR(INDEX(E_SHIFT_ESDS,15),"")</f>
        <v>Allyson Trevino</v>
      </c>
      <c r="E29" s="54" t="str" cm="1">
        <f t="array" ref="E29">IFERROR(INDEX(F_SHIFT_ESDS,15),"")</f>
        <v>Edie Ochoa</v>
      </c>
      <c r="G29" s="86" t="s">
        <v>166</v>
      </c>
      <c r="H29" s="86"/>
    </row>
    <row r="30" spans="1:8" ht="13.5" customHeight="1" x14ac:dyDescent="0.2">
      <c r="A30" s="55" cm="1">
        <f t="array" ref="A30">IFERROR(INDEX(A_SHIFT_ESDS,16),"")</f>
        <v>0</v>
      </c>
      <c r="B30" s="54" t="str" cm="1">
        <f t="array" ref="B30">IFERROR(INDEX(B_SHIFT_ESDS,16),"")</f>
        <v>Maribel Escareno</v>
      </c>
      <c r="C30" s="54"/>
      <c r="D30" s="54" t="str" cm="1">
        <f t="array" ref="D30">IFERROR(INDEX(E_SHIFT_ESDS,16),"")</f>
        <v>Jessica Cardoza</v>
      </c>
      <c r="E30" s="54" cm="1">
        <f t="array" ref="E30">IFERROR(INDEX(F_SHIFT_ESDS,16),"")</f>
        <v>0</v>
      </c>
      <c r="G30" s="74">
        <v>1530</v>
      </c>
      <c r="H30" s="75" t="str">
        <f>IF('2026'!I12&lt;&gt;"", '2026'!I12, "")</f>
        <v/>
      </c>
    </row>
    <row r="31" spans="1:8" ht="13.5" customHeight="1" x14ac:dyDescent="0.2">
      <c r="A31" s="55" cm="1">
        <f t="array" ref="A31">IFERROR(INDEX(A_SHIFT_ESDS,17),"")</f>
        <v>0</v>
      </c>
      <c r="B31" s="54" t="str" cm="1">
        <f t="array" ref="B31">IFERROR(INDEX(B_SHIFT_ESDS,17),"")</f>
        <v>Kyler Lorin</v>
      </c>
      <c r="C31" s="54"/>
      <c r="D31" s="54" t="str" cm="1">
        <f t="array" ref="D31">IFERROR(INDEX(E_SHIFT_ESDS,17),"")</f>
        <v>Jesse Jimenez</v>
      </c>
      <c r="E31" s="54" cm="1">
        <f t="array" ref="E31">IFERROR(INDEX(F_SHIFT_ESDS,17),"")</f>
        <v>0</v>
      </c>
      <c r="F31" s="58"/>
      <c r="G31" s="74">
        <v>1730</v>
      </c>
      <c r="H31" s="75" t="str">
        <f>IF('2026'!I13&lt;&gt;"", '2026'!I13, "")</f>
        <v/>
      </c>
    </row>
    <row r="32" spans="1:8" ht="13.5" customHeight="1" x14ac:dyDescent="0.2">
      <c r="A32" s="55" cm="1">
        <f t="array" ref="A32">IFERROR(INDEX(A_SHIFT_ESDS,18),"")</f>
        <v>0</v>
      </c>
      <c r="B32" s="54" t="str" cm="1">
        <f t="array" ref="B32">IFERROR(INDEX(B_SHIFT_ESDS,18),"")</f>
        <v>Eric Uribe</v>
      </c>
      <c r="C32" s="54"/>
      <c r="D32" s="54" t="str" cm="1">
        <f t="array" ref="D32">IFERROR(INDEX(E_SHIFT_ESDS,18),"")</f>
        <v>Cicaly Cruz</v>
      </c>
      <c r="E32" s="54" cm="1">
        <f t="array" ref="E32">IFERROR(INDEX(F_SHIFT_ESDS,18),"")</f>
        <v>0</v>
      </c>
      <c r="G32" s="74">
        <v>1930</v>
      </c>
      <c r="H32" s="75" t="str">
        <f>IF('2026'!I14&lt;&gt;"", '2026'!I14, "")</f>
        <v/>
      </c>
    </row>
    <row r="33" spans="1:8" ht="13.5" customHeight="1" x14ac:dyDescent="0.2">
      <c r="A33" s="55" cm="1">
        <f t="array" ref="A33">IFERROR(INDEX(A_SHIFT_ESDS,19),"")</f>
        <v>0</v>
      </c>
      <c r="B33" s="54" t="str" cm="1">
        <f t="array" ref="B33">IFERROR(INDEX(B_SHIFT_ESDS,19),"")</f>
        <v>Melina Davila</v>
      </c>
      <c r="C33" s="54"/>
      <c r="D33" s="54" t="str" cm="1">
        <f t="array" ref="D33">IFERROR(INDEX(E_SHIFT_ESDS,19),"")</f>
        <v>Cassidy Voudry</v>
      </c>
      <c r="E33" s="54" cm="1">
        <f t="array" ref="E33">IFERROR(INDEX(F_SHIFT_ESDS,19),"")</f>
        <v>0</v>
      </c>
      <c r="G33" s="74">
        <v>2130</v>
      </c>
      <c r="H33" s="75" t="str">
        <f>IF('2026'!I15&lt;&gt;"", '2026'!I15, "")</f>
        <v/>
      </c>
    </row>
    <row r="34" spans="1:8" ht="13.5" customHeight="1" x14ac:dyDescent="0.2">
      <c r="A34" s="55" cm="1">
        <f t="array" ref="A34">IFERROR(INDEX(A_SHIFT_ESDS,20),"")</f>
        <v>0</v>
      </c>
      <c r="B34" s="54" t="str" cm="1">
        <f t="array" ref="B34">IFERROR(INDEX(B_SHIFT_ESDS,20),"")</f>
        <v>Jose Lopez</v>
      </c>
      <c r="C34" s="54"/>
      <c r="D34" s="54" t="str" cm="1">
        <f t="array" ref="D34">IFERROR(INDEX(E_SHIFT_ESDS,20),"")</f>
        <v>Kanong Lee</v>
      </c>
      <c r="E34" s="54" cm="1">
        <f t="array" ref="E34">IFERROR(INDEX(F_SHIFT_ESDS,20),"")</f>
        <v>0</v>
      </c>
      <c r="G34" s="74">
        <v>2330</v>
      </c>
      <c r="H34" s="75" t="str">
        <f>IF('2026'!I16&lt;&gt;"", '2026'!I16, "")</f>
        <v/>
      </c>
    </row>
    <row r="35" spans="1:8" ht="13.5" customHeight="1" x14ac:dyDescent="0.2">
      <c r="A35" s="55" cm="1">
        <f t="array" ref="A35">IFERROR(INDEX(A_SHIFT_ESDS,21),"")</f>
        <v>0</v>
      </c>
      <c r="B35" s="54" t="str" cm="1">
        <f t="array" ref="B35">IFERROR(INDEX(B_SHIFT_ESDS,21),"")</f>
        <v>Brenda Basulto</v>
      </c>
      <c r="C35" s="54"/>
      <c r="D35" s="54" t="str" cm="1">
        <f t="array" ref="D35">IFERROR(INDEX(E_SHIFT_ESDS,21),"")</f>
        <v>Delaney Boyd-Escobedo</v>
      </c>
      <c r="E35" s="54" cm="1">
        <f t="array" ref="E35">IFERROR(INDEX(F_SHIFT_ESDS,21),"")</f>
        <v>0</v>
      </c>
      <c r="G35" s="74">
        <v>130</v>
      </c>
      <c r="H35" s="75" t="str">
        <f>IF('2026'!I17&lt;&gt;"", '2026'!I17, "")</f>
        <v/>
      </c>
    </row>
    <row r="36" spans="1:8" ht="12.2" customHeight="1" x14ac:dyDescent="0.25">
      <c r="A36" s="54"/>
      <c r="B36" s="54" t="str" cm="1">
        <f t="array" ref="B36">IFERROR(INDEX(B_SHIFT_ESDS,22),"")</f>
        <v>Vanessa Mercado</v>
      </c>
      <c r="C36" s="52" t="s">
        <v>37</v>
      </c>
      <c r="D36" s="54" t="str" cm="1">
        <f t="array" ref="D36">IFERROR(INDEX(E_SHIFT_ESDS,22),"")</f>
        <v>Jackeline Carreon</v>
      </c>
      <c r="E36" s="54" cm="1">
        <f t="array" ref="E36">IFERROR(INDEX(F_SHIFT_ESDS,22),"")</f>
        <v>0</v>
      </c>
      <c r="G36" s="84"/>
      <c r="H36" s="85"/>
    </row>
    <row r="37" spans="1:8" ht="12.2" customHeight="1" x14ac:dyDescent="0.25">
      <c r="A37" s="54"/>
      <c r="B37" s="54" cm="1">
        <f t="array" ref="B37">IFERROR(INDEX(B_SHIFT_ESDS,23),"")</f>
        <v>0</v>
      </c>
      <c r="C37" s="54" t="str" cm="1">
        <f t="array" ref="C37">IFERROR(INDEX(D_SHIFT_ESDS,1),"")</f>
        <v>May Yen Yang</v>
      </c>
      <c r="D37" s="54" t="str" cm="1">
        <f t="array" ref="D37">IFERROR(INDEX(E_SHIFT_ESDS,23),"")</f>
        <v>Leanne Heslep</v>
      </c>
      <c r="E37" s="54" cm="1">
        <f t="array" ref="E37">IFERROR(INDEX(F_SHIFT_ESDS,23),"")</f>
        <v>0</v>
      </c>
      <c r="F37" s="65"/>
      <c r="G37" s="59" t="s">
        <v>114</v>
      </c>
      <c r="H37" s="60"/>
    </row>
    <row r="38" spans="1:8" ht="12.2" customHeight="1" x14ac:dyDescent="0.2">
      <c r="A38" s="54"/>
      <c r="B38" s="54" cm="1">
        <f t="array" ref="B38">IFERROR(INDEX(B_SHIFT_ESDS,24),"")</f>
        <v>0</v>
      </c>
      <c r="C38" s="54" t="str" cm="1">
        <f t="array" ref="C38">IFERROR(INDEX(D_SHIFT_ESDS,2),"")</f>
        <v>Lydia Martinez</v>
      </c>
      <c r="D38" s="54" t="str" cm="1">
        <f t="array" ref="D38">IFERROR(INDEX(E_SHIFT_ESDS,24),"")</f>
        <v xml:space="preserve">Brittany Watson </v>
      </c>
      <c r="E38" s="54" cm="1">
        <f t="array" ref="E38">IFERROR(INDEX(F_SHIFT_ESDS,24),"")</f>
        <v>0</v>
      </c>
      <c r="G38" s="59" t="s">
        <v>18</v>
      </c>
      <c r="H38" s="60"/>
    </row>
    <row r="39" spans="1:8" ht="12.2" customHeight="1" x14ac:dyDescent="0.25">
      <c r="A39" s="54"/>
      <c r="B39" s="54" cm="1">
        <f t="array" ref="B39">IFERROR(INDEX(B_SHIFT_ESDS,25),"")</f>
        <v>0</v>
      </c>
      <c r="C39" s="54" t="str" cm="1">
        <f t="array" ref="C39">IFERROR(INDEX(D_SHIFT_ESDS,3),"")</f>
        <v>Amanda Willis</v>
      </c>
      <c r="D39" s="54" cm="1">
        <f t="array" ref="D39">IFERROR(INDEX(E_SHIFT_ESDS,25),"")</f>
        <v>0</v>
      </c>
      <c r="E39" s="54"/>
      <c r="F39" s="65"/>
      <c r="G39" s="59" t="s">
        <v>7</v>
      </c>
      <c r="H39" s="60"/>
    </row>
    <row r="40" spans="1:8" ht="12.2" customHeight="1" x14ac:dyDescent="0.2">
      <c r="A40" s="54"/>
      <c r="B40" s="54" cm="1">
        <f t="array" ref="B40">IFERROR(INDEX(B_SHIFT_ESDS,26),"")</f>
        <v>0</v>
      </c>
      <c r="C40" s="54" t="str" cm="1">
        <f t="array" ref="C40">IFERROR(INDEX(D_SHIFT_ESDS,4),"")</f>
        <v>Maria Jones</v>
      </c>
      <c r="D40" s="54" cm="1">
        <f t="array" ref="D40">IFERROR(INDEX(E_SHIFT_ESDS,26),"")</f>
        <v>0</v>
      </c>
      <c r="E40" s="54"/>
      <c r="F40" s="61"/>
      <c r="G40" s="59" t="s">
        <v>8</v>
      </c>
      <c r="H40" s="60"/>
    </row>
    <row r="41" spans="1:8" ht="12.2" customHeight="1" x14ac:dyDescent="0.2">
      <c r="A41" s="54"/>
      <c r="B41" s="54" cm="1">
        <f t="array" ref="B41">IFERROR(INDEX(B_SHIFT_ESDS,27),"")</f>
        <v>0</v>
      </c>
      <c r="C41" s="54" t="str" cm="1">
        <f t="array" ref="C41">IFERROR(INDEX(D_SHIFT_ESDS,5),"")</f>
        <v>Shadon Riahizadeh</v>
      </c>
      <c r="D41" s="54" cm="1">
        <f t="array" ref="D41">IFERROR(INDEX(E_SHIFT_ESDS,27),"")</f>
        <v>0</v>
      </c>
      <c r="E41" s="54"/>
      <c r="F41" s="61"/>
      <c r="G41" s="61"/>
      <c r="H41" s="61"/>
    </row>
    <row r="42" spans="1:8" ht="12.2" customHeight="1" x14ac:dyDescent="0.2">
      <c r="A42" s="54"/>
      <c r="B42" s="54" cm="1">
        <f t="array" ref="B42">IFERROR(INDEX(B_SHIFT_ESDS,28),"")</f>
        <v>0</v>
      </c>
      <c r="C42" s="54" t="str" cm="1">
        <f t="array" ref="C42">IFERROR(INDEX(D_SHIFT_ESDS,6),"")</f>
        <v>Danielle Parre</v>
      </c>
      <c r="D42" s="54" cm="1">
        <f t="array" ref="D42">IFERROR(INDEX(E_SHIFT_ESDS,28),"")</f>
        <v>0</v>
      </c>
      <c r="E42" s="54"/>
      <c r="F42" s="61"/>
      <c r="G42" s="61"/>
      <c r="H42" s="61"/>
    </row>
    <row r="43" spans="1:8" ht="15.75" customHeight="1" x14ac:dyDescent="0.2">
      <c r="A43" s="54"/>
      <c r="B43" s="54" cm="1">
        <f t="array" ref="B43">IFERROR(INDEX(B_SHIFT_ESDS,29),"")</f>
        <v>0</v>
      </c>
      <c r="C43" s="54" t="str" cm="1">
        <f t="array" ref="C43">IFERROR(INDEX(D_SHIFT_ESDS,7),"")</f>
        <v>Brenda Basulto</v>
      </c>
      <c r="D43" s="54" cm="1">
        <f t="array" ref="D43">IFERROR(INDEX(E_SHIFT_ESDS,29),"")</f>
        <v>0</v>
      </c>
      <c r="E43" s="54"/>
      <c r="F43" s="64"/>
      <c r="G43" s="61"/>
      <c r="H43" s="61"/>
    </row>
    <row r="44" spans="1:8" ht="15.75" customHeight="1" x14ac:dyDescent="0.2">
      <c r="A44" s="54"/>
      <c r="B44" s="54" cm="1">
        <f t="array" ref="B44">IFERROR(INDEX(B_SHIFT_ESDS,30),"")</f>
        <v>0</v>
      </c>
      <c r="C44" s="54" t="str" cm="1">
        <f t="array" ref="C44">IFERROR(INDEX(D_SHIFT_ESDS,8),"")</f>
        <v>Emily Franco</v>
      </c>
      <c r="D44" s="54" cm="1">
        <f t="array" ref="D44">IFERROR(INDEX(E_SHIFT_ESDS,30),"")</f>
        <v>0</v>
      </c>
      <c r="E44" s="54"/>
      <c r="F44" s="64"/>
      <c r="G44" s="61"/>
      <c r="H44" s="61"/>
    </row>
    <row r="45" spans="1:8" ht="15.75" customHeight="1" x14ac:dyDescent="0.2">
      <c r="A45" s="54"/>
      <c r="B45" s="54" cm="1">
        <f t="array" ref="B45">IFERROR(INDEX(B_SHIFT_ESDS,31),"")</f>
        <v>0</v>
      </c>
      <c r="C45" s="54" t="str" cm="1">
        <f t="array" ref="C45">IFERROR(INDEX(D_SHIFT_ESDS,9),"")</f>
        <v>Ricka  Majors</v>
      </c>
      <c r="D45" s="54" cm="1">
        <f t="array" ref="D45">IFERROR(INDEX(E_SHIFT_ESDS,31),"")</f>
        <v>0</v>
      </c>
      <c r="E45" s="55"/>
    </row>
    <row r="46" spans="1:8" ht="15.75" customHeight="1" x14ac:dyDescent="0.2">
      <c r="A46" s="54" cm="1">
        <f t="array" ref="A46">IFERROR(INDEX(TRAINEES_ESDS,16),"")</f>
        <v>0</v>
      </c>
      <c r="B46" s="54" cm="1">
        <f t="array" ref="B46">IFERROR(INDEX(B_SHIFT_ESDS,32),"")</f>
        <v>0</v>
      </c>
      <c r="C46" s="54" t="str" cm="1">
        <f t="array" ref="C46">IFERROR(INDEX(D_SHIFT_ESDS,10),"")</f>
        <v>Asuzena Aquino</v>
      </c>
      <c r="D46" s="54" cm="1">
        <f t="array" ref="D46">IFERROR(INDEX(E_SHIFT_ESDS,32),"")</f>
        <v>0</v>
      </c>
      <c r="E46" s="55"/>
    </row>
    <row r="47" spans="1:8" ht="15.75" customHeight="1" x14ac:dyDescent="0.2">
      <c r="A47" s="54" cm="1">
        <f t="array" ref="A47">IFERROR(INDEX(TRAINEES_ESDS,17),"")</f>
        <v>0</v>
      </c>
      <c r="B47" s="54" cm="1">
        <f t="array" ref="B47">IFERROR(INDEX(B_SHIFT_ESDS,33),"")</f>
        <v>0</v>
      </c>
      <c r="C47" s="54" t="str" cm="1">
        <f t="array" ref="C47">IFERROR(INDEX(D_SHIFT_ESDS,11),"")</f>
        <v>Jorge Rosales</v>
      </c>
    </row>
    <row r="48" spans="1:8" ht="15.75" customHeight="1" x14ac:dyDescent="0.2">
      <c r="A48" s="54" cm="1">
        <f t="array" ref="A48">IFERROR(INDEX(TRAINEES_ESDS,18),"")</f>
        <v>0</v>
      </c>
      <c r="B48" s="54" cm="1">
        <f t="array" ref="B48">IFERROR(INDEX(B_SHIFT_ESDS,34),"")</f>
        <v>0</v>
      </c>
      <c r="C48" s="54" t="str" cm="1">
        <f t="array" ref="C48">IFERROR(INDEX(D_SHIFT_ESDS,12),"")</f>
        <v>Cierra Chochrek</v>
      </c>
    </row>
    <row r="49" spans="1:3" ht="15.75" customHeight="1" x14ac:dyDescent="0.2">
      <c r="A49" s="54" cm="1">
        <f t="array" ref="A49">IFERROR(INDEX(TRAINEES_ESDS,19),"")</f>
        <v>0</v>
      </c>
      <c r="B49" s="54" cm="1">
        <f t="array" ref="B49">IFERROR(INDEX(B_SHIFT_ESDS,35),"")</f>
        <v>0</v>
      </c>
      <c r="C49" s="54" t="str" cm="1">
        <f t="array" ref="C49">IFERROR(INDEX(D_SHIFT_ESDS,13),"")</f>
        <v>Daniel Gallardo</v>
      </c>
    </row>
    <row r="50" spans="1:3" ht="15.75" customHeight="1" x14ac:dyDescent="0.2">
      <c r="A50" s="54" cm="1">
        <f t="array" ref="A50">IFERROR(INDEX(TRAINEES_ESDS,20),"")</f>
        <v>0</v>
      </c>
      <c r="B50" s="54" cm="1">
        <f t="array" ref="B50">IFERROR(INDEX(B_SHIFT_ESDS,36),"")</f>
        <v>0</v>
      </c>
      <c r="C50" s="54" cm="1">
        <f t="array" ref="C50">IFERROR(INDEX(D_SHIFT_ESDS,14),"")</f>
        <v>0</v>
      </c>
    </row>
    <row r="51" spans="1:3" ht="15.75" customHeight="1" x14ac:dyDescent="0.2">
      <c r="B51" s="54" cm="1">
        <f t="array" ref="B51">IFERROR(INDEX(B_SHIFT_ESDS,37),"")</f>
        <v>0</v>
      </c>
      <c r="C51" s="54" cm="1">
        <f t="array" ref="C51">IFERROR(INDEX(D_SHIFT_ESDS,15),"")</f>
        <v>0</v>
      </c>
    </row>
    <row r="52" spans="1:3" ht="15.75" customHeight="1" x14ac:dyDescent="0.2">
      <c r="B52" s="54" cm="1">
        <f t="array" ref="B52">IFERROR(INDEX(B_SHIFT_ESDS,38),"")</f>
        <v>0</v>
      </c>
      <c r="C52" s="54" cm="1">
        <f t="array" ref="C52">IFERROR(INDEX(D_SHIFT_ESDS,16),"")</f>
        <v>0</v>
      </c>
    </row>
    <row r="53" spans="1:3" ht="15.75" customHeight="1" x14ac:dyDescent="0.2">
      <c r="C53" s="54" cm="1">
        <f t="array" ref="C53">IFERROR(INDEX(D_SHIFT_ESDS,17),"")</f>
        <v>0</v>
      </c>
    </row>
    <row r="54" spans="1:3" ht="15.75" customHeight="1" x14ac:dyDescent="0.2"/>
    <row r="55" spans="1:3" ht="15.75" customHeight="1" x14ac:dyDescent="0.2"/>
    <row r="56" spans="1:3" ht="15.75" customHeight="1" x14ac:dyDescent="0.2"/>
    <row r="57" spans="1:3" ht="15.75" customHeight="1" x14ac:dyDescent="0.2"/>
    <row r="58" spans="1:3" ht="15.75" customHeight="1" x14ac:dyDescent="0.2"/>
    <row r="59" spans="1:3" ht="15.75" customHeight="1" x14ac:dyDescent="0.2"/>
    <row r="60" spans="1:3" ht="15.75" customHeight="1" x14ac:dyDescent="0.2"/>
    <row r="61" spans="1:3" ht="15.75" customHeight="1" x14ac:dyDescent="0.2"/>
    <row r="62" spans="1:3" ht="15.75" customHeight="1" x14ac:dyDescent="0.2"/>
    <row r="63" spans="1:3" ht="15.75" customHeight="1" x14ac:dyDescent="0.2"/>
    <row r="64" spans="1:3" ht="15.75" customHeight="1" x14ac:dyDescent="0.2"/>
    <row r="65" s="57" customFormat="1" ht="15.75" customHeight="1" x14ac:dyDescent="0.2"/>
    <row r="66" s="57" customFormat="1" ht="15.75" customHeight="1" x14ac:dyDescent="0.2"/>
    <row r="67" s="57" customFormat="1" ht="15.75" customHeight="1" x14ac:dyDescent="0.2"/>
    <row r="68" s="57" customFormat="1" ht="15.75" customHeight="1" x14ac:dyDescent="0.2"/>
    <row r="69" s="57" customFormat="1" ht="15.75" customHeight="1" x14ac:dyDescent="0.2"/>
    <row r="70" s="57" customFormat="1" ht="15.75" customHeight="1" x14ac:dyDescent="0.2"/>
    <row r="71" s="57" customFormat="1" ht="15.75" customHeight="1" x14ac:dyDescent="0.2"/>
    <row r="72" s="57" customFormat="1" ht="15.75" customHeight="1" x14ac:dyDescent="0.2"/>
    <row r="73" s="57" customFormat="1" ht="15.75" customHeight="1" x14ac:dyDescent="0.2"/>
    <row r="74" s="57" customFormat="1" ht="15.75" customHeight="1" x14ac:dyDescent="0.2"/>
    <row r="75" s="57" customFormat="1" ht="15.75" customHeight="1" x14ac:dyDescent="0.2"/>
    <row r="76" s="57" customFormat="1" ht="15.75" customHeight="1" x14ac:dyDescent="0.2"/>
    <row r="77" s="57" customFormat="1" ht="15.75" customHeight="1" x14ac:dyDescent="0.2"/>
    <row r="78" s="57" customFormat="1" ht="15.75" customHeight="1" x14ac:dyDescent="0.2"/>
    <row r="79" s="57" customFormat="1" ht="15.75" customHeight="1" x14ac:dyDescent="0.2"/>
    <row r="80" s="57" customFormat="1" ht="15.75" customHeight="1" x14ac:dyDescent="0.2"/>
    <row r="81" s="57" customFormat="1" ht="15.75" customHeight="1" x14ac:dyDescent="0.2"/>
    <row r="82" s="57" customFormat="1" ht="15.75" customHeight="1" x14ac:dyDescent="0.2"/>
    <row r="83" s="57" customFormat="1" ht="15.75" customHeight="1" x14ac:dyDescent="0.2"/>
    <row r="84" s="57" customFormat="1" ht="15.75" customHeight="1" x14ac:dyDescent="0.2"/>
    <row r="85" s="57" customFormat="1" ht="15.75" customHeight="1" x14ac:dyDescent="0.2"/>
    <row r="86" s="57" customFormat="1" ht="15.75" customHeight="1" x14ac:dyDescent="0.2"/>
    <row r="87" s="57" customFormat="1" ht="15.75" customHeight="1" x14ac:dyDescent="0.2"/>
    <row r="88" s="57" customFormat="1" ht="15.75" customHeight="1" x14ac:dyDescent="0.2"/>
    <row r="89" s="57" customFormat="1" ht="15.75" customHeight="1" x14ac:dyDescent="0.2"/>
    <row r="90" s="57" customFormat="1" ht="15.75" customHeight="1" x14ac:dyDescent="0.2"/>
    <row r="91" s="57" customFormat="1" ht="15.75" customHeight="1" x14ac:dyDescent="0.2"/>
    <row r="92" s="57" customFormat="1" ht="15.75" customHeight="1" x14ac:dyDescent="0.2"/>
    <row r="93" s="57" customFormat="1" ht="15.75" customHeight="1" x14ac:dyDescent="0.2"/>
    <row r="94" s="57" customFormat="1" ht="15.75" customHeight="1" x14ac:dyDescent="0.2"/>
    <row r="95" s="57" customFormat="1" ht="15.75" customHeight="1" x14ac:dyDescent="0.2"/>
    <row r="96" s="57" customFormat="1" ht="15.75" customHeight="1" x14ac:dyDescent="0.2"/>
    <row r="97" s="57" customFormat="1" ht="15.75" customHeight="1" x14ac:dyDescent="0.2"/>
    <row r="98" s="57" customFormat="1" ht="15.75" customHeight="1" x14ac:dyDescent="0.2"/>
    <row r="99" s="57" customFormat="1" ht="15.75" customHeight="1" x14ac:dyDescent="0.2"/>
    <row r="100" s="57" customFormat="1" ht="15.75" customHeight="1" x14ac:dyDescent="0.2"/>
    <row r="101" s="57" customFormat="1" ht="15.75" customHeight="1" x14ac:dyDescent="0.2"/>
    <row r="102" s="57" customFormat="1" ht="15.75" customHeight="1" x14ac:dyDescent="0.2"/>
    <row r="103" s="57" customFormat="1" ht="15.75" customHeight="1" x14ac:dyDescent="0.2"/>
    <row r="104" s="57" customFormat="1" ht="15.75" customHeight="1" x14ac:dyDescent="0.2"/>
    <row r="105" s="57" customFormat="1" ht="15.75" customHeight="1" x14ac:dyDescent="0.2"/>
    <row r="106" s="57" customFormat="1" ht="15.75" customHeight="1" x14ac:dyDescent="0.2"/>
    <row r="107" s="57" customFormat="1" ht="15.75" customHeight="1" x14ac:dyDescent="0.2"/>
    <row r="108" s="57" customFormat="1" ht="15.75" customHeight="1" x14ac:dyDescent="0.2"/>
    <row r="109" s="57" customFormat="1" ht="15.75" customHeight="1" x14ac:dyDescent="0.2"/>
    <row r="110" s="57" customFormat="1" ht="15.75" customHeight="1" x14ac:dyDescent="0.2"/>
    <row r="111" s="57" customFormat="1" ht="15.75" customHeight="1" x14ac:dyDescent="0.2"/>
    <row r="112" s="57" customFormat="1" ht="15.75" customHeight="1" x14ac:dyDescent="0.2"/>
    <row r="113" s="57" customFormat="1" ht="15.75" customHeight="1" x14ac:dyDescent="0.2"/>
    <row r="114" s="57" customFormat="1" ht="15.75" customHeight="1" x14ac:dyDescent="0.2"/>
    <row r="115" s="57" customFormat="1" ht="15.75" customHeight="1" x14ac:dyDescent="0.2"/>
    <row r="116" s="57" customFormat="1" ht="15.75" customHeight="1" x14ac:dyDescent="0.2"/>
    <row r="117" s="57" customFormat="1" ht="15.75" customHeight="1" x14ac:dyDescent="0.2"/>
    <row r="118" s="57" customFormat="1" ht="15.75" customHeight="1" x14ac:dyDescent="0.2"/>
    <row r="119" s="57" customFormat="1" ht="15.75" customHeight="1" x14ac:dyDescent="0.2"/>
    <row r="120" s="57" customFormat="1" ht="15.75" customHeight="1" x14ac:dyDescent="0.2"/>
    <row r="121" s="57" customFormat="1" ht="15.75" customHeight="1" x14ac:dyDescent="0.2"/>
    <row r="122" s="57" customFormat="1" ht="15.75" customHeight="1" x14ac:dyDescent="0.2"/>
    <row r="123" s="57" customFormat="1" ht="15.75" customHeight="1" x14ac:dyDescent="0.2"/>
    <row r="124" s="57" customFormat="1" ht="15.75" customHeight="1" x14ac:dyDescent="0.2"/>
    <row r="125" s="57" customFormat="1" ht="15.75" customHeight="1" x14ac:dyDescent="0.2"/>
    <row r="126" s="57" customFormat="1" ht="15.75" customHeight="1" x14ac:dyDescent="0.2"/>
    <row r="127" s="57" customFormat="1" ht="15.75" customHeight="1" x14ac:dyDescent="0.2"/>
    <row r="128" s="57" customFormat="1" ht="15.75" customHeight="1" x14ac:dyDescent="0.2"/>
    <row r="129" s="57" customFormat="1" ht="15.75" customHeight="1" x14ac:dyDescent="0.2"/>
    <row r="130" s="57" customFormat="1" ht="15.75" customHeight="1" x14ac:dyDescent="0.2"/>
    <row r="131" s="57" customFormat="1" ht="15.75" customHeight="1" x14ac:dyDescent="0.2"/>
    <row r="132" s="57" customFormat="1" ht="15.75" customHeight="1" x14ac:dyDescent="0.2"/>
    <row r="133" s="57" customFormat="1" ht="15.75" customHeight="1" x14ac:dyDescent="0.2"/>
    <row r="134" s="57" customFormat="1" ht="15.75" customHeight="1" x14ac:dyDescent="0.2"/>
    <row r="135" s="57" customFormat="1" ht="15.75" customHeight="1" x14ac:dyDescent="0.2"/>
    <row r="136" s="57" customFormat="1" ht="15.75" customHeight="1" x14ac:dyDescent="0.2"/>
    <row r="137" s="57" customFormat="1" ht="15.75" customHeight="1" x14ac:dyDescent="0.2"/>
    <row r="138" s="57" customFormat="1" ht="15.75" customHeight="1" x14ac:dyDescent="0.2"/>
    <row r="139" s="57" customFormat="1" ht="15.75" customHeight="1" x14ac:dyDescent="0.2"/>
    <row r="140" s="57" customFormat="1" ht="15.75" customHeight="1" x14ac:dyDescent="0.2"/>
    <row r="141" s="57" customFormat="1" ht="15.75" customHeight="1" x14ac:dyDescent="0.2"/>
    <row r="142" s="57" customFormat="1" ht="15.75" customHeight="1" x14ac:dyDescent="0.2"/>
    <row r="143" s="57" customFormat="1" ht="15.75" customHeight="1" x14ac:dyDescent="0.2"/>
    <row r="144" s="57" customFormat="1" ht="15.75" customHeight="1" x14ac:dyDescent="0.2"/>
    <row r="145" s="57" customFormat="1" ht="15.75" customHeight="1" x14ac:dyDescent="0.2"/>
    <row r="146" s="57" customFormat="1" ht="15.75" customHeight="1" x14ac:dyDescent="0.2"/>
    <row r="147" s="57" customFormat="1" ht="15.75" customHeight="1" x14ac:dyDescent="0.2"/>
    <row r="148" s="57" customFormat="1" ht="15.75" customHeight="1" x14ac:dyDescent="0.2"/>
    <row r="149" s="57" customFormat="1" ht="15.75" customHeight="1" x14ac:dyDescent="0.2"/>
    <row r="150" s="57" customFormat="1" ht="15.75" customHeight="1" x14ac:dyDescent="0.2"/>
    <row r="151" s="57" customFormat="1" ht="15.75" customHeight="1" x14ac:dyDescent="0.2"/>
    <row r="152" s="57" customFormat="1" ht="15.75" customHeight="1" x14ac:dyDescent="0.2"/>
    <row r="153" s="57" customFormat="1" ht="15.75" customHeight="1" x14ac:dyDescent="0.2"/>
    <row r="154" s="57" customFormat="1" ht="15.75" customHeight="1" x14ac:dyDescent="0.2"/>
    <row r="155" s="57" customFormat="1" ht="15.75" customHeight="1" x14ac:dyDescent="0.2"/>
    <row r="156" s="57" customFormat="1" ht="15.75" customHeight="1" x14ac:dyDescent="0.2"/>
    <row r="157" s="57" customFormat="1" ht="15.75" customHeight="1" x14ac:dyDescent="0.2"/>
    <row r="158" s="57" customFormat="1" ht="15.75" customHeight="1" x14ac:dyDescent="0.2"/>
    <row r="159" s="57" customFormat="1" ht="15.75" customHeight="1" x14ac:dyDescent="0.2"/>
    <row r="160" s="57" customFormat="1" ht="15.75" customHeight="1" x14ac:dyDescent="0.2"/>
    <row r="161" s="57" customFormat="1" ht="15.75" customHeight="1" x14ac:dyDescent="0.2"/>
    <row r="162" s="57" customFormat="1" ht="15.75" customHeight="1" x14ac:dyDescent="0.2"/>
    <row r="163" s="57" customFormat="1" ht="15.75" customHeight="1" x14ac:dyDescent="0.2"/>
    <row r="164" s="57" customFormat="1" ht="15.75" customHeight="1" x14ac:dyDescent="0.2"/>
    <row r="165" s="57" customFormat="1" ht="15.75" customHeight="1" x14ac:dyDescent="0.2"/>
    <row r="166" s="57" customFormat="1" ht="15.75" customHeight="1" x14ac:dyDescent="0.2"/>
    <row r="167" s="57" customFormat="1" ht="15.75" customHeight="1" x14ac:dyDescent="0.2"/>
    <row r="168" s="57" customFormat="1" ht="15.75" customHeight="1" x14ac:dyDescent="0.2"/>
    <row r="169" s="57" customFormat="1" ht="15.75" customHeight="1" x14ac:dyDescent="0.2"/>
    <row r="170" s="57" customFormat="1" ht="15.75" customHeight="1" x14ac:dyDescent="0.2"/>
    <row r="171" s="57" customFormat="1" ht="15.75" customHeight="1" x14ac:dyDescent="0.2"/>
    <row r="172" s="57" customFormat="1" ht="15.75" customHeight="1" x14ac:dyDescent="0.2"/>
    <row r="173" s="57" customFormat="1" ht="15.75" customHeight="1" x14ac:dyDescent="0.2"/>
    <row r="174" s="57" customFormat="1" ht="15.75" customHeight="1" x14ac:dyDescent="0.2"/>
    <row r="175" s="57" customFormat="1" ht="15.75" customHeight="1" x14ac:dyDescent="0.2"/>
    <row r="176" s="57" customFormat="1" ht="15.75" customHeight="1" x14ac:dyDescent="0.2"/>
    <row r="177" s="57" customFormat="1" ht="15.75" customHeight="1" x14ac:dyDescent="0.2"/>
    <row r="178" s="57" customFormat="1" ht="15.75" customHeight="1" x14ac:dyDescent="0.2"/>
    <row r="179" s="57" customFormat="1" ht="15.75" customHeight="1" x14ac:dyDescent="0.2"/>
    <row r="180" s="57" customFormat="1" ht="15.75" customHeight="1" x14ac:dyDescent="0.2"/>
    <row r="181" s="57" customFormat="1" ht="15.75" customHeight="1" x14ac:dyDescent="0.2"/>
    <row r="182" s="57" customFormat="1" ht="15.75" customHeight="1" x14ac:dyDescent="0.2"/>
    <row r="183" s="57" customFormat="1" ht="15.75" customHeight="1" x14ac:dyDescent="0.2"/>
    <row r="184" s="57" customFormat="1" ht="15.75" customHeight="1" x14ac:dyDescent="0.2"/>
    <row r="185" s="57" customFormat="1" ht="15.75" customHeight="1" x14ac:dyDescent="0.2"/>
    <row r="186" s="57" customFormat="1" ht="15.75" customHeight="1" x14ac:dyDescent="0.2"/>
    <row r="187" s="57" customFormat="1" ht="15.75" customHeight="1" x14ac:dyDescent="0.2"/>
    <row r="188" s="57" customFormat="1" ht="15.75" customHeight="1" x14ac:dyDescent="0.2"/>
    <row r="189" s="57" customFormat="1" ht="15.75" customHeight="1" x14ac:dyDescent="0.2"/>
    <row r="190" s="57" customFormat="1" ht="15.75" customHeight="1" x14ac:dyDescent="0.2"/>
    <row r="191" s="57" customFormat="1" ht="15.75" customHeight="1" x14ac:dyDescent="0.2"/>
    <row r="192" s="57" customFormat="1" ht="15.75" customHeight="1" x14ac:dyDescent="0.2"/>
    <row r="193" s="57" customFormat="1" ht="15.75" customHeight="1" x14ac:dyDescent="0.2"/>
    <row r="194" s="57" customFormat="1" ht="15.75" customHeight="1" x14ac:dyDescent="0.2"/>
    <row r="195" s="57" customFormat="1" ht="15.75" customHeight="1" x14ac:dyDescent="0.2"/>
    <row r="196" s="57" customFormat="1" ht="15.75" customHeight="1" x14ac:dyDescent="0.2"/>
    <row r="197" s="57" customFormat="1" ht="15.75" customHeight="1" x14ac:dyDescent="0.2"/>
    <row r="198" s="57" customFormat="1" ht="15.75" customHeight="1" x14ac:dyDescent="0.2"/>
    <row r="199" s="57" customFormat="1" ht="15.75" customHeight="1" x14ac:dyDescent="0.2"/>
    <row r="200" s="57" customFormat="1" ht="15.75" customHeight="1" x14ac:dyDescent="0.2"/>
    <row r="201" s="57" customFormat="1" ht="15.75" customHeight="1" x14ac:dyDescent="0.2"/>
    <row r="202" s="57" customFormat="1" ht="15.75" customHeight="1" x14ac:dyDescent="0.2"/>
    <row r="203" s="57" customFormat="1" ht="15.75" customHeight="1" x14ac:dyDescent="0.2"/>
    <row r="204" s="57" customFormat="1" ht="15.75" customHeight="1" x14ac:dyDescent="0.2"/>
    <row r="205" s="57" customFormat="1" ht="15.75" customHeight="1" x14ac:dyDescent="0.2"/>
    <row r="206" s="57" customFormat="1" ht="15.75" customHeight="1" x14ac:dyDescent="0.2"/>
    <row r="207" s="57" customFormat="1" ht="15.75" customHeight="1" x14ac:dyDescent="0.2"/>
    <row r="208" s="57" customFormat="1" ht="15.75" customHeight="1" x14ac:dyDescent="0.2"/>
    <row r="209" s="57" customFormat="1" ht="15.75" customHeight="1" x14ac:dyDescent="0.2"/>
    <row r="210" s="57" customFormat="1" ht="15.75" customHeight="1" x14ac:dyDescent="0.2"/>
    <row r="211" s="57" customFormat="1" ht="15.75" customHeight="1" x14ac:dyDescent="0.2"/>
    <row r="212" s="57" customFormat="1" ht="15.75" customHeight="1" x14ac:dyDescent="0.2"/>
    <row r="213" s="57" customFormat="1" ht="15.75" customHeight="1" x14ac:dyDescent="0.2"/>
    <row r="214" s="57" customFormat="1" ht="15.75" customHeight="1" x14ac:dyDescent="0.2"/>
    <row r="215" s="57" customFormat="1" ht="15.75" customHeight="1" x14ac:dyDescent="0.2"/>
    <row r="216" s="57" customFormat="1" ht="15.75" customHeight="1" x14ac:dyDescent="0.2"/>
    <row r="217" s="57" customFormat="1" ht="15.75" customHeight="1" x14ac:dyDescent="0.2"/>
    <row r="218" s="57" customFormat="1" ht="15.75" customHeight="1" x14ac:dyDescent="0.2"/>
    <row r="219" s="57" customFormat="1" ht="15.75" customHeight="1" x14ac:dyDescent="0.2"/>
    <row r="220" s="57" customFormat="1" ht="15.75" customHeight="1" x14ac:dyDescent="0.2"/>
    <row r="221" s="57" customFormat="1" ht="15.75" customHeight="1" x14ac:dyDescent="0.2"/>
    <row r="222" s="57" customFormat="1" ht="15.75" customHeight="1" x14ac:dyDescent="0.2"/>
    <row r="223" s="57" customFormat="1" ht="15.75" customHeight="1" x14ac:dyDescent="0.2"/>
    <row r="224" s="57" customFormat="1" ht="15.75" customHeight="1" x14ac:dyDescent="0.2"/>
    <row r="225" s="57" customFormat="1" ht="15.75" customHeight="1" x14ac:dyDescent="0.2"/>
    <row r="226" s="57" customFormat="1" ht="15.75" customHeight="1" x14ac:dyDescent="0.2"/>
    <row r="227" s="57" customFormat="1" ht="15.75" customHeight="1" x14ac:dyDescent="0.2"/>
    <row r="228" s="57" customFormat="1" ht="15.75" customHeight="1" x14ac:dyDescent="0.2"/>
    <row r="229" s="57" customFormat="1" ht="15.75" customHeight="1" x14ac:dyDescent="0.2"/>
    <row r="230" s="57" customFormat="1" ht="15.75" customHeight="1" x14ac:dyDescent="0.2"/>
    <row r="231" s="57" customFormat="1" ht="15.75" customHeight="1" x14ac:dyDescent="0.2"/>
    <row r="232" s="57" customFormat="1" ht="15.75" customHeight="1" x14ac:dyDescent="0.2"/>
    <row r="233" s="57" customFormat="1" ht="15.75" customHeight="1" x14ac:dyDescent="0.2"/>
    <row r="234" s="57" customFormat="1" ht="15.75" customHeight="1" x14ac:dyDescent="0.2"/>
    <row r="235" s="57" customFormat="1" ht="15.75" customHeight="1" x14ac:dyDescent="0.2"/>
    <row r="236" s="57" customFormat="1" ht="15.75" customHeight="1" x14ac:dyDescent="0.2"/>
    <row r="237" s="57" customFormat="1" ht="15.75" customHeight="1" x14ac:dyDescent="0.2"/>
    <row r="238" s="57" customFormat="1" ht="15.75" customHeight="1" x14ac:dyDescent="0.2"/>
    <row r="239" s="57" customFormat="1" ht="15.75" customHeight="1" x14ac:dyDescent="0.2"/>
    <row r="240" s="57" customFormat="1" ht="15.75" customHeight="1" x14ac:dyDescent="0.2"/>
    <row r="241" s="57" customFormat="1" ht="15.75" customHeight="1" x14ac:dyDescent="0.2"/>
    <row r="242" s="57" customFormat="1" ht="15.75" customHeight="1" x14ac:dyDescent="0.2"/>
    <row r="243" s="57" customFormat="1" ht="15.75" customHeight="1" x14ac:dyDescent="0.2"/>
    <row r="244" s="57" customFormat="1" ht="15.75" customHeight="1" x14ac:dyDescent="0.2"/>
    <row r="245" s="57" customFormat="1" ht="15.75" customHeight="1" x14ac:dyDescent="0.2"/>
    <row r="246" s="57" customFormat="1" ht="15.75" customHeight="1" x14ac:dyDescent="0.2"/>
    <row r="247" s="57" customFormat="1" ht="15.75" customHeight="1" x14ac:dyDescent="0.2"/>
    <row r="248" s="57" customFormat="1" ht="15.75" customHeight="1" x14ac:dyDescent="0.2"/>
    <row r="249" s="57" customFormat="1" ht="15.75" customHeight="1" x14ac:dyDescent="0.2"/>
    <row r="250" s="57" customFormat="1" ht="15.75" customHeight="1" x14ac:dyDescent="0.2"/>
    <row r="251" s="57" customFormat="1" ht="15.75" customHeight="1" x14ac:dyDescent="0.2"/>
    <row r="252" s="57" customFormat="1" ht="15.75" customHeight="1" x14ac:dyDescent="0.2"/>
    <row r="253" s="57" customFormat="1" ht="15.75" customHeight="1" x14ac:dyDescent="0.2"/>
    <row r="254" s="57" customFormat="1" ht="15.75" customHeight="1" x14ac:dyDescent="0.2"/>
    <row r="255" s="57" customFormat="1" ht="15.75" customHeight="1" x14ac:dyDescent="0.2"/>
    <row r="256" s="57" customFormat="1" ht="15.75" customHeight="1" x14ac:dyDescent="0.2"/>
    <row r="257" s="57" customFormat="1" ht="15.75" customHeight="1" x14ac:dyDescent="0.2"/>
    <row r="258" s="57" customFormat="1" ht="15.75" customHeight="1" x14ac:dyDescent="0.2"/>
    <row r="259" s="57" customFormat="1" ht="15.75" customHeight="1" x14ac:dyDescent="0.2"/>
    <row r="260" s="57" customFormat="1" ht="15.75" customHeight="1" x14ac:dyDescent="0.2"/>
    <row r="261" s="57" customFormat="1" ht="15.75" customHeight="1" x14ac:dyDescent="0.2"/>
    <row r="262" s="57" customFormat="1" ht="15.75" customHeight="1" x14ac:dyDescent="0.2"/>
    <row r="263" s="57" customFormat="1" ht="15.75" customHeight="1" x14ac:dyDescent="0.2"/>
    <row r="264" s="57" customFormat="1" ht="15.75" customHeight="1" x14ac:dyDescent="0.2"/>
    <row r="265" s="57" customFormat="1" ht="15.75" customHeight="1" x14ac:dyDescent="0.2"/>
    <row r="266" s="57" customFormat="1" ht="15.75" customHeight="1" x14ac:dyDescent="0.2"/>
    <row r="267" s="57" customFormat="1" ht="15.75" customHeight="1" x14ac:dyDescent="0.2"/>
    <row r="268" s="57" customFormat="1" ht="15.75" customHeight="1" x14ac:dyDescent="0.2"/>
    <row r="269" s="57" customFormat="1" ht="15.75" customHeight="1" x14ac:dyDescent="0.2"/>
    <row r="270" s="57" customFormat="1" ht="15.75" customHeight="1" x14ac:dyDescent="0.2"/>
    <row r="271" s="57" customFormat="1" ht="15.75" customHeight="1" x14ac:dyDescent="0.2"/>
    <row r="272" s="57" customFormat="1" ht="15.75" customHeight="1" x14ac:dyDescent="0.2"/>
    <row r="273" s="57" customFormat="1" ht="15.75" customHeight="1" x14ac:dyDescent="0.2"/>
    <row r="274" s="57" customFormat="1" ht="15.75" customHeight="1" x14ac:dyDescent="0.2"/>
    <row r="275" s="57" customFormat="1" ht="15.75" customHeight="1" x14ac:dyDescent="0.2"/>
    <row r="276" s="57" customFormat="1" ht="15.75" customHeight="1" x14ac:dyDescent="0.2"/>
    <row r="277" s="57" customFormat="1" ht="15.75" customHeight="1" x14ac:dyDescent="0.2"/>
    <row r="278" s="57" customFormat="1" ht="15.75" customHeight="1" x14ac:dyDescent="0.2"/>
    <row r="279" s="57" customFormat="1" ht="15.75" customHeight="1" x14ac:dyDescent="0.2"/>
    <row r="280" s="57" customFormat="1" ht="15.75" customHeight="1" x14ac:dyDescent="0.2"/>
    <row r="281" s="57" customFormat="1" ht="15.75" customHeight="1" x14ac:dyDescent="0.2"/>
    <row r="282" s="57" customFormat="1" ht="15.75" customHeight="1" x14ac:dyDescent="0.2"/>
    <row r="283" s="57" customFormat="1" ht="15.75" customHeight="1" x14ac:dyDescent="0.2"/>
    <row r="284" s="57" customFormat="1" ht="15.75" customHeight="1" x14ac:dyDescent="0.2"/>
    <row r="285" s="57" customFormat="1" ht="15.75" customHeight="1" x14ac:dyDescent="0.2"/>
    <row r="286" s="57" customFormat="1" ht="15.75" customHeight="1" x14ac:dyDescent="0.2"/>
    <row r="287" s="57" customFormat="1" ht="15.75" customHeight="1" x14ac:dyDescent="0.2"/>
    <row r="288" s="57" customFormat="1" ht="15.75" customHeight="1" x14ac:dyDescent="0.2"/>
    <row r="289" s="57" customFormat="1" ht="15.75" customHeight="1" x14ac:dyDescent="0.2"/>
    <row r="290" s="57" customFormat="1" ht="15.75" customHeight="1" x14ac:dyDescent="0.2"/>
    <row r="291" s="57" customFormat="1" ht="15.75" customHeight="1" x14ac:dyDescent="0.2"/>
    <row r="292" s="57" customFormat="1" ht="15.75" customHeight="1" x14ac:dyDescent="0.2"/>
    <row r="293" s="57" customFormat="1" ht="15.75" customHeight="1" x14ac:dyDescent="0.2"/>
    <row r="294" s="57" customFormat="1" ht="15.75" customHeight="1" x14ac:dyDescent="0.2"/>
    <row r="295" s="57" customFormat="1" ht="15.75" customHeight="1" x14ac:dyDescent="0.2"/>
    <row r="296" s="57" customFormat="1" ht="15.75" customHeight="1" x14ac:dyDescent="0.2"/>
    <row r="297" s="57" customFormat="1" ht="15.75" customHeight="1" x14ac:dyDescent="0.2"/>
    <row r="298" s="57" customFormat="1" ht="15.75" customHeight="1" x14ac:dyDescent="0.2"/>
    <row r="299" s="57" customFormat="1" ht="15.75" customHeight="1" x14ac:dyDescent="0.2"/>
    <row r="300" s="57" customFormat="1" ht="15.75" customHeight="1" x14ac:dyDescent="0.2"/>
    <row r="301" s="57" customFormat="1" ht="15.75" customHeight="1" x14ac:dyDescent="0.2"/>
    <row r="302" s="57" customFormat="1" ht="15.75" customHeight="1" x14ac:dyDescent="0.2"/>
    <row r="303" s="57" customFormat="1" ht="15.75" customHeight="1" x14ac:dyDescent="0.2"/>
    <row r="304" s="57" customFormat="1" ht="15.75" customHeight="1" x14ac:dyDescent="0.2"/>
    <row r="305" s="57" customFormat="1" ht="15.75" customHeight="1" x14ac:dyDescent="0.2"/>
    <row r="306" s="57" customFormat="1" ht="15.75" customHeight="1" x14ac:dyDescent="0.2"/>
    <row r="307" s="57" customFormat="1" ht="15.75" customHeight="1" x14ac:dyDescent="0.2"/>
    <row r="308" s="57" customFormat="1" ht="15.75" customHeight="1" x14ac:dyDescent="0.2"/>
    <row r="309" s="57" customFormat="1" ht="15.75" customHeight="1" x14ac:dyDescent="0.2"/>
    <row r="310" s="57" customFormat="1" ht="15.75" customHeight="1" x14ac:dyDescent="0.2"/>
    <row r="311" s="57" customFormat="1" ht="15.75" customHeight="1" x14ac:dyDescent="0.2"/>
    <row r="312" s="57" customFormat="1" ht="15.75" customHeight="1" x14ac:dyDescent="0.2"/>
    <row r="313" s="57" customFormat="1" ht="15.75" customHeight="1" x14ac:dyDescent="0.2"/>
    <row r="314" s="57" customFormat="1" ht="15.75" customHeight="1" x14ac:dyDescent="0.2"/>
    <row r="315" s="57" customFormat="1" ht="15.75" customHeight="1" x14ac:dyDescent="0.2"/>
    <row r="316" s="57" customFormat="1" ht="15.75" customHeight="1" x14ac:dyDescent="0.2"/>
    <row r="317" s="57" customFormat="1" ht="15.75" customHeight="1" x14ac:dyDescent="0.2"/>
    <row r="318" s="57" customFormat="1" ht="15.75" customHeight="1" x14ac:dyDescent="0.2"/>
    <row r="319" s="57" customFormat="1" ht="15.75" customHeight="1" x14ac:dyDescent="0.2"/>
    <row r="320" s="57" customFormat="1" ht="15.75" customHeight="1" x14ac:dyDescent="0.2"/>
    <row r="321" s="57" customFormat="1" ht="15.75" customHeight="1" x14ac:dyDescent="0.2"/>
    <row r="322" s="57" customFormat="1" ht="15.75" customHeight="1" x14ac:dyDescent="0.2"/>
    <row r="323" s="57" customFormat="1" ht="15.75" customHeight="1" x14ac:dyDescent="0.2"/>
    <row r="324" s="57" customFormat="1" ht="15.75" customHeight="1" x14ac:dyDescent="0.2"/>
    <row r="325" s="57" customFormat="1" ht="15.75" customHeight="1" x14ac:dyDescent="0.2"/>
    <row r="326" s="57" customFormat="1" ht="15.75" customHeight="1" x14ac:dyDescent="0.2"/>
    <row r="327" s="57" customFormat="1" ht="15.75" customHeight="1" x14ac:dyDescent="0.2"/>
    <row r="328" s="57" customFormat="1" ht="15.75" customHeight="1" x14ac:dyDescent="0.2"/>
    <row r="329" s="57" customFormat="1" ht="15.75" customHeight="1" x14ac:dyDescent="0.2"/>
    <row r="330" s="57" customFormat="1" ht="15.75" customHeight="1" x14ac:dyDescent="0.2"/>
    <row r="331" s="57" customFormat="1" ht="15.75" customHeight="1" x14ac:dyDescent="0.2"/>
    <row r="332" s="57" customFormat="1" ht="15.75" customHeight="1" x14ac:dyDescent="0.2"/>
    <row r="333" s="57" customFormat="1" ht="15.75" customHeight="1" x14ac:dyDescent="0.2"/>
    <row r="334" s="57" customFormat="1" ht="15.75" customHeight="1" x14ac:dyDescent="0.2"/>
    <row r="335" s="57" customFormat="1" ht="15.75" customHeight="1" x14ac:dyDescent="0.2"/>
    <row r="336" s="57" customFormat="1" ht="15.75" customHeight="1" x14ac:dyDescent="0.2"/>
    <row r="337" s="57" customFormat="1" ht="15.75" customHeight="1" x14ac:dyDescent="0.2"/>
    <row r="338" s="57" customFormat="1" ht="15.75" customHeight="1" x14ac:dyDescent="0.2"/>
    <row r="339" s="57" customFormat="1" ht="15.75" customHeight="1" x14ac:dyDescent="0.2"/>
    <row r="340" s="57" customFormat="1" ht="15.75" customHeight="1" x14ac:dyDescent="0.2"/>
    <row r="341" s="57" customFormat="1" ht="15.75" customHeight="1" x14ac:dyDescent="0.2"/>
    <row r="342" s="57" customFormat="1" ht="15.75" customHeight="1" x14ac:dyDescent="0.2"/>
    <row r="343" s="57" customFormat="1" ht="15.75" customHeight="1" x14ac:dyDescent="0.2"/>
    <row r="344" s="57" customFormat="1" ht="15.75" customHeight="1" x14ac:dyDescent="0.2"/>
    <row r="345" s="57" customFormat="1" ht="15.75" customHeight="1" x14ac:dyDescent="0.2"/>
    <row r="346" s="57" customFormat="1" ht="15.75" customHeight="1" x14ac:dyDescent="0.2"/>
    <row r="347" s="57" customFormat="1" ht="15.75" customHeight="1" x14ac:dyDescent="0.2"/>
    <row r="348" s="57" customFormat="1" ht="15.75" customHeight="1" x14ac:dyDescent="0.2"/>
    <row r="349" s="57" customFormat="1" ht="15.75" customHeight="1" x14ac:dyDescent="0.2"/>
    <row r="350" s="57" customFormat="1" ht="15.75" customHeight="1" x14ac:dyDescent="0.2"/>
    <row r="351" s="57" customFormat="1" ht="15.75" customHeight="1" x14ac:dyDescent="0.2"/>
    <row r="352" s="57" customFormat="1" ht="15.75" customHeight="1" x14ac:dyDescent="0.2"/>
    <row r="353" s="57" customFormat="1" ht="15.75" customHeight="1" x14ac:dyDescent="0.2"/>
    <row r="354" s="57" customFormat="1" ht="15.75" customHeight="1" x14ac:dyDescent="0.2"/>
    <row r="355" s="57" customFormat="1" ht="15.75" customHeight="1" x14ac:dyDescent="0.2"/>
    <row r="356" s="57" customFormat="1" ht="15.75" customHeight="1" x14ac:dyDescent="0.2"/>
    <row r="357" s="57" customFormat="1" ht="15.75" customHeight="1" x14ac:dyDescent="0.2"/>
    <row r="358" s="57" customFormat="1" ht="15.75" customHeight="1" x14ac:dyDescent="0.2"/>
    <row r="359" s="57" customFormat="1" ht="15.75" customHeight="1" x14ac:dyDescent="0.2"/>
    <row r="360" s="57" customFormat="1" ht="15.75" customHeight="1" x14ac:dyDescent="0.2"/>
    <row r="361" s="57" customFormat="1" ht="15.75" customHeight="1" x14ac:dyDescent="0.2"/>
    <row r="362" s="57" customFormat="1" ht="15.75" customHeight="1" x14ac:dyDescent="0.2"/>
    <row r="363" s="57" customFormat="1" ht="15.75" customHeight="1" x14ac:dyDescent="0.2"/>
    <row r="364" s="57" customFormat="1" ht="15.75" customHeight="1" x14ac:dyDescent="0.2"/>
    <row r="365" s="57" customFormat="1" ht="15.75" customHeight="1" x14ac:dyDescent="0.2"/>
    <row r="366" s="57" customFormat="1" ht="15.75" customHeight="1" x14ac:dyDescent="0.2"/>
    <row r="367" s="57" customFormat="1" ht="15.75" customHeight="1" x14ac:dyDescent="0.2"/>
    <row r="368" s="57" customFormat="1" ht="15.75" customHeight="1" x14ac:dyDescent="0.2"/>
    <row r="369" s="57" customFormat="1" ht="15.75" customHeight="1" x14ac:dyDescent="0.2"/>
    <row r="370" s="57" customFormat="1" ht="15.75" customHeight="1" x14ac:dyDescent="0.2"/>
    <row r="371" s="57" customFormat="1" ht="15.75" customHeight="1" x14ac:dyDescent="0.2"/>
    <row r="372" s="57" customFormat="1" ht="15.75" customHeight="1" x14ac:dyDescent="0.2"/>
    <row r="373" s="57" customFormat="1" ht="15.75" customHeight="1" x14ac:dyDescent="0.2"/>
    <row r="374" s="57" customFormat="1" ht="15.75" customHeight="1" x14ac:dyDescent="0.2"/>
    <row r="375" s="57" customFormat="1" ht="15.75" customHeight="1" x14ac:dyDescent="0.2"/>
    <row r="376" s="57" customFormat="1" ht="15.75" customHeight="1" x14ac:dyDescent="0.2"/>
    <row r="377" s="57" customFormat="1" ht="15.75" customHeight="1" x14ac:dyDescent="0.2"/>
    <row r="378" s="57" customFormat="1" ht="15.75" customHeight="1" x14ac:dyDescent="0.2"/>
    <row r="379" s="57" customFormat="1" ht="15.75" customHeight="1" x14ac:dyDescent="0.2"/>
    <row r="380" s="57" customFormat="1" ht="15.75" customHeight="1" x14ac:dyDescent="0.2"/>
    <row r="381" s="57" customFormat="1" ht="15.75" customHeight="1" x14ac:dyDescent="0.2"/>
    <row r="382" s="57" customFormat="1" ht="15.75" customHeight="1" x14ac:dyDescent="0.2"/>
    <row r="383" s="57" customFormat="1" ht="15.75" customHeight="1" x14ac:dyDescent="0.2"/>
    <row r="384" s="57" customFormat="1" ht="15.75" customHeight="1" x14ac:dyDescent="0.2"/>
    <row r="385" s="57" customFormat="1" ht="15.75" customHeight="1" x14ac:dyDescent="0.2"/>
    <row r="386" s="57" customFormat="1" ht="15.75" customHeight="1" x14ac:dyDescent="0.2"/>
    <row r="387" s="57" customFormat="1" ht="15.75" customHeight="1" x14ac:dyDescent="0.2"/>
    <row r="388" s="57" customFormat="1" ht="15.75" customHeight="1" x14ac:dyDescent="0.2"/>
    <row r="389" s="57" customFormat="1" ht="15.75" customHeight="1" x14ac:dyDescent="0.2"/>
    <row r="390" s="57" customFormat="1" ht="15.75" customHeight="1" x14ac:dyDescent="0.2"/>
    <row r="391" s="57" customFormat="1" ht="15.75" customHeight="1" x14ac:dyDescent="0.2"/>
    <row r="392" s="57" customFormat="1" ht="15.75" customHeight="1" x14ac:dyDescent="0.2"/>
    <row r="393" s="57" customFormat="1" ht="15.75" customHeight="1" x14ac:dyDescent="0.2"/>
    <row r="394" s="57" customFormat="1" ht="15.75" customHeight="1" x14ac:dyDescent="0.2"/>
    <row r="395" s="57" customFormat="1" ht="15.75" customHeight="1" x14ac:dyDescent="0.2"/>
    <row r="396" s="57" customFormat="1" ht="15.75" customHeight="1" x14ac:dyDescent="0.2"/>
    <row r="397" s="57" customFormat="1" ht="15.75" customHeight="1" x14ac:dyDescent="0.2"/>
    <row r="398" s="57" customFormat="1" ht="15.75" customHeight="1" x14ac:dyDescent="0.2"/>
    <row r="399" s="57" customFormat="1" ht="15.75" customHeight="1" x14ac:dyDescent="0.2"/>
    <row r="400" s="57" customFormat="1" ht="15.75" customHeight="1" x14ac:dyDescent="0.2"/>
    <row r="401" s="57" customFormat="1" ht="15.75" customHeight="1" x14ac:dyDescent="0.2"/>
    <row r="402" s="57" customFormat="1" ht="15.75" customHeight="1" x14ac:dyDescent="0.2"/>
    <row r="403" s="57" customFormat="1" ht="15.75" customHeight="1" x14ac:dyDescent="0.2"/>
    <row r="404" s="57" customFormat="1" ht="15.75" customHeight="1" x14ac:dyDescent="0.2"/>
    <row r="405" s="57" customFormat="1" ht="15.75" customHeight="1" x14ac:dyDescent="0.2"/>
    <row r="406" s="57" customFormat="1" ht="15.75" customHeight="1" x14ac:dyDescent="0.2"/>
    <row r="407" s="57" customFormat="1" ht="15.75" customHeight="1" x14ac:dyDescent="0.2"/>
    <row r="408" s="57" customFormat="1" ht="15.75" customHeight="1" x14ac:dyDescent="0.2"/>
    <row r="409" s="57" customFormat="1" ht="15.75" customHeight="1" x14ac:dyDescent="0.2"/>
    <row r="410" s="57" customFormat="1" ht="15.75" customHeight="1" x14ac:dyDescent="0.2"/>
    <row r="411" s="57" customFormat="1" ht="15.75" customHeight="1" x14ac:dyDescent="0.2"/>
    <row r="412" s="57" customFormat="1" ht="15.75" customHeight="1" x14ac:dyDescent="0.2"/>
    <row r="413" s="57" customFormat="1" ht="15.75" customHeight="1" x14ac:dyDescent="0.2"/>
    <row r="414" s="57" customFormat="1" ht="15.75" customHeight="1" x14ac:dyDescent="0.2"/>
    <row r="415" s="57" customFormat="1" ht="15.75" customHeight="1" x14ac:dyDescent="0.2"/>
    <row r="416" s="57" customFormat="1" ht="15.75" customHeight="1" x14ac:dyDescent="0.2"/>
    <row r="417" s="57" customFormat="1" ht="15.75" customHeight="1" x14ac:dyDescent="0.2"/>
    <row r="418" s="57" customFormat="1" ht="15.75" customHeight="1" x14ac:dyDescent="0.2"/>
    <row r="419" s="57" customFormat="1" ht="15.75" customHeight="1" x14ac:dyDescent="0.2"/>
    <row r="420" s="57" customFormat="1" ht="15.75" customHeight="1" x14ac:dyDescent="0.2"/>
    <row r="421" s="57" customFormat="1" ht="15.75" customHeight="1" x14ac:dyDescent="0.2"/>
    <row r="422" s="57" customFormat="1" ht="15.75" customHeight="1" x14ac:dyDescent="0.2"/>
    <row r="423" s="57" customFormat="1" ht="15.75" customHeight="1" x14ac:dyDescent="0.2"/>
    <row r="424" s="57" customFormat="1" ht="15.75" customHeight="1" x14ac:dyDescent="0.2"/>
    <row r="425" s="57" customFormat="1" ht="15.75" customHeight="1" x14ac:dyDescent="0.2"/>
    <row r="426" s="57" customFormat="1" ht="15.75" customHeight="1" x14ac:dyDescent="0.2"/>
    <row r="427" s="57" customFormat="1" ht="15.75" customHeight="1" x14ac:dyDescent="0.2"/>
    <row r="428" s="57" customFormat="1" ht="15.75" customHeight="1" x14ac:dyDescent="0.2"/>
    <row r="429" s="57" customFormat="1" ht="15.75" customHeight="1" x14ac:dyDescent="0.2"/>
    <row r="430" s="57" customFormat="1" ht="15.75" customHeight="1" x14ac:dyDescent="0.2"/>
    <row r="431" s="57" customFormat="1" ht="15.75" customHeight="1" x14ac:dyDescent="0.2"/>
    <row r="432" s="57" customFormat="1" ht="15.75" customHeight="1" x14ac:dyDescent="0.2"/>
    <row r="433" s="57" customFormat="1" ht="15.75" customHeight="1" x14ac:dyDescent="0.2"/>
    <row r="434" s="57" customFormat="1" ht="15.75" customHeight="1" x14ac:dyDescent="0.2"/>
    <row r="435" s="57" customFormat="1" ht="15.75" customHeight="1" x14ac:dyDescent="0.2"/>
    <row r="436" s="57" customFormat="1" ht="15.75" customHeight="1" x14ac:dyDescent="0.2"/>
    <row r="437" s="57" customFormat="1" ht="15.75" customHeight="1" x14ac:dyDescent="0.2"/>
    <row r="438" s="57" customFormat="1" ht="15.75" customHeight="1" x14ac:dyDescent="0.2"/>
    <row r="439" s="57" customFormat="1" ht="15.75" customHeight="1" x14ac:dyDescent="0.2"/>
    <row r="440" s="57" customFormat="1" ht="15.75" customHeight="1" x14ac:dyDescent="0.2"/>
    <row r="441" s="57" customFormat="1" ht="15.75" customHeight="1" x14ac:dyDescent="0.2"/>
    <row r="442" s="57" customFormat="1" ht="15.75" customHeight="1" x14ac:dyDescent="0.2"/>
    <row r="443" s="57" customFormat="1" ht="15.75" customHeight="1" x14ac:dyDescent="0.2"/>
    <row r="444" s="57" customFormat="1" ht="15.75" customHeight="1" x14ac:dyDescent="0.2"/>
    <row r="445" s="57" customFormat="1" ht="15.75" customHeight="1" x14ac:dyDescent="0.2"/>
    <row r="446" s="57" customFormat="1" ht="15.75" customHeight="1" x14ac:dyDescent="0.2"/>
    <row r="447" s="57" customFormat="1" ht="15.75" customHeight="1" x14ac:dyDescent="0.2"/>
    <row r="448" s="57" customFormat="1" ht="15.75" customHeight="1" x14ac:dyDescent="0.2"/>
    <row r="449" s="57" customFormat="1" ht="15.75" customHeight="1" x14ac:dyDescent="0.2"/>
    <row r="450" s="57" customFormat="1" ht="15.75" customHeight="1" x14ac:dyDescent="0.2"/>
    <row r="451" s="57" customFormat="1" ht="15.75" customHeight="1" x14ac:dyDescent="0.2"/>
    <row r="452" s="57" customFormat="1" ht="15.75" customHeight="1" x14ac:dyDescent="0.2"/>
    <row r="453" s="57" customFormat="1" ht="15.75" customHeight="1" x14ac:dyDescent="0.2"/>
    <row r="454" s="57" customFormat="1" ht="15.75" customHeight="1" x14ac:dyDescent="0.2"/>
    <row r="455" s="57" customFormat="1" ht="15.75" customHeight="1" x14ac:dyDescent="0.2"/>
    <row r="456" s="57" customFormat="1" ht="15.75" customHeight="1" x14ac:dyDescent="0.2"/>
    <row r="457" s="57" customFormat="1" ht="15.75" customHeight="1" x14ac:dyDescent="0.2"/>
    <row r="458" s="57" customFormat="1" ht="15.75" customHeight="1" x14ac:dyDescent="0.2"/>
    <row r="459" s="57" customFormat="1" ht="15.75" customHeight="1" x14ac:dyDescent="0.2"/>
    <row r="460" s="57" customFormat="1" ht="15.75" customHeight="1" x14ac:dyDescent="0.2"/>
    <row r="461" s="57" customFormat="1" ht="15.75" customHeight="1" x14ac:dyDescent="0.2"/>
    <row r="462" s="57" customFormat="1" ht="15.75" customHeight="1" x14ac:dyDescent="0.2"/>
    <row r="463" s="57" customFormat="1" ht="15.75" customHeight="1" x14ac:dyDescent="0.2"/>
    <row r="464" s="57" customFormat="1" ht="15.75" customHeight="1" x14ac:dyDescent="0.2"/>
    <row r="465" s="57" customFormat="1" ht="15.75" customHeight="1" x14ac:dyDescent="0.2"/>
    <row r="466" s="57" customFormat="1" ht="15.75" customHeight="1" x14ac:dyDescent="0.2"/>
    <row r="467" s="57" customFormat="1" ht="15.75" customHeight="1" x14ac:dyDescent="0.2"/>
    <row r="468" s="57" customFormat="1" ht="15.75" customHeight="1" x14ac:dyDescent="0.2"/>
    <row r="469" s="57" customFormat="1" ht="15.75" customHeight="1" x14ac:dyDescent="0.2"/>
    <row r="470" s="57" customFormat="1" ht="15.75" customHeight="1" x14ac:dyDescent="0.2"/>
    <row r="471" s="57" customFormat="1" ht="15.75" customHeight="1" x14ac:dyDescent="0.2"/>
    <row r="472" s="57" customFormat="1" ht="15.75" customHeight="1" x14ac:dyDescent="0.2"/>
    <row r="473" s="57" customFormat="1" ht="15.75" customHeight="1" x14ac:dyDescent="0.2"/>
    <row r="474" s="57" customFormat="1" ht="15.75" customHeight="1" x14ac:dyDescent="0.2"/>
    <row r="475" s="57" customFormat="1" ht="15.75" customHeight="1" x14ac:dyDescent="0.2"/>
    <row r="476" s="57" customFormat="1" ht="15.75" customHeight="1" x14ac:dyDescent="0.2"/>
    <row r="477" s="57" customFormat="1" ht="15.75" customHeight="1" x14ac:dyDescent="0.2"/>
    <row r="478" s="57" customFormat="1" ht="15.75" customHeight="1" x14ac:dyDescent="0.2"/>
    <row r="479" s="57" customFormat="1" ht="15.75" customHeight="1" x14ac:dyDescent="0.2"/>
    <row r="480" s="57" customFormat="1" ht="15.75" customHeight="1" x14ac:dyDescent="0.2"/>
    <row r="481" s="57" customFormat="1" ht="15.75" customHeight="1" x14ac:dyDescent="0.2"/>
    <row r="482" s="57" customFormat="1" ht="15.75" customHeight="1" x14ac:dyDescent="0.2"/>
    <row r="483" s="57" customFormat="1" ht="15.75" customHeight="1" x14ac:dyDescent="0.2"/>
    <row r="484" s="57" customFormat="1" ht="15.75" customHeight="1" x14ac:dyDescent="0.2"/>
    <row r="485" s="57" customFormat="1" ht="15.75" customHeight="1" x14ac:dyDescent="0.2"/>
    <row r="486" s="57" customFormat="1" ht="15.75" customHeight="1" x14ac:dyDescent="0.2"/>
    <row r="487" s="57" customFormat="1" ht="15.75" customHeight="1" x14ac:dyDescent="0.2"/>
    <row r="488" s="57" customFormat="1" ht="15.75" customHeight="1" x14ac:dyDescent="0.2"/>
    <row r="489" s="57" customFormat="1" ht="15.75" customHeight="1" x14ac:dyDescent="0.2"/>
    <row r="490" s="57" customFormat="1" ht="15.75" customHeight="1" x14ac:dyDescent="0.2"/>
    <row r="491" s="57" customFormat="1" ht="15.75" customHeight="1" x14ac:dyDescent="0.2"/>
    <row r="492" s="57" customFormat="1" ht="15.75" customHeight="1" x14ac:dyDescent="0.2"/>
    <row r="493" s="57" customFormat="1" ht="15.75" customHeight="1" x14ac:dyDescent="0.2"/>
    <row r="494" s="57" customFormat="1" ht="15.75" customHeight="1" x14ac:dyDescent="0.2"/>
    <row r="495" s="57" customFormat="1" ht="15.75" customHeight="1" x14ac:dyDescent="0.2"/>
    <row r="496" s="57" customFormat="1" ht="15.75" customHeight="1" x14ac:dyDescent="0.2"/>
    <row r="497" s="57" customFormat="1" ht="15.75" customHeight="1" x14ac:dyDescent="0.2"/>
    <row r="498" s="57" customFormat="1" ht="15.75" customHeight="1" x14ac:dyDescent="0.2"/>
    <row r="499" s="57" customFormat="1" ht="15.75" customHeight="1" x14ac:dyDescent="0.2"/>
    <row r="500" s="57" customFormat="1" ht="15.75" customHeight="1" x14ac:dyDescent="0.2"/>
    <row r="501" s="57" customFormat="1" ht="15.75" customHeight="1" x14ac:dyDescent="0.2"/>
    <row r="502" s="57" customFormat="1" ht="15.75" customHeight="1" x14ac:dyDescent="0.2"/>
    <row r="503" s="57" customFormat="1" ht="15.75" customHeight="1" x14ac:dyDescent="0.2"/>
    <row r="504" s="57" customFormat="1" ht="15.75" customHeight="1" x14ac:dyDescent="0.2"/>
    <row r="505" s="57" customFormat="1" ht="15.75" customHeight="1" x14ac:dyDescent="0.2"/>
    <row r="506" s="57" customFormat="1" ht="15.75" customHeight="1" x14ac:dyDescent="0.2"/>
    <row r="507" s="57" customFormat="1" ht="15.75" customHeight="1" x14ac:dyDescent="0.2"/>
    <row r="508" s="57" customFormat="1" ht="15.75" customHeight="1" x14ac:dyDescent="0.2"/>
    <row r="509" s="57" customFormat="1" ht="15.75" customHeight="1" x14ac:dyDescent="0.2"/>
    <row r="510" s="57" customFormat="1" ht="15.75" customHeight="1" x14ac:dyDescent="0.2"/>
    <row r="511" s="57" customFormat="1" ht="15.75" customHeight="1" x14ac:dyDescent="0.2"/>
    <row r="512" s="57" customFormat="1" ht="15.75" customHeight="1" x14ac:dyDescent="0.2"/>
    <row r="513" s="57" customFormat="1" ht="15.75" customHeight="1" x14ac:dyDescent="0.2"/>
    <row r="514" s="57" customFormat="1" ht="15.75" customHeight="1" x14ac:dyDescent="0.2"/>
    <row r="515" s="57" customFormat="1" ht="15.75" customHeight="1" x14ac:dyDescent="0.2"/>
    <row r="516" s="57" customFormat="1" ht="15.75" customHeight="1" x14ac:dyDescent="0.2"/>
    <row r="517" s="57" customFormat="1" ht="15.75" customHeight="1" x14ac:dyDescent="0.2"/>
    <row r="518" s="57" customFormat="1" ht="15.75" customHeight="1" x14ac:dyDescent="0.2"/>
    <row r="519" s="57" customFormat="1" ht="15.75" customHeight="1" x14ac:dyDescent="0.2"/>
    <row r="520" s="57" customFormat="1" ht="15.75" customHeight="1" x14ac:dyDescent="0.2"/>
    <row r="521" s="57" customFormat="1" ht="15.75" customHeight="1" x14ac:dyDescent="0.2"/>
    <row r="522" s="57" customFormat="1" ht="15.75" customHeight="1" x14ac:dyDescent="0.2"/>
    <row r="523" s="57" customFormat="1" ht="15.75" customHeight="1" x14ac:dyDescent="0.2"/>
    <row r="524" s="57" customFormat="1" ht="15.75" customHeight="1" x14ac:dyDescent="0.2"/>
    <row r="525" s="57" customFormat="1" ht="15.75" customHeight="1" x14ac:dyDescent="0.2"/>
    <row r="526" s="57" customFormat="1" ht="15.75" customHeight="1" x14ac:dyDescent="0.2"/>
    <row r="527" s="57" customFormat="1" ht="15.75" customHeight="1" x14ac:dyDescent="0.2"/>
    <row r="528" s="57" customFormat="1" ht="15.75" customHeight="1" x14ac:dyDescent="0.2"/>
    <row r="529" s="57" customFormat="1" ht="15.75" customHeight="1" x14ac:dyDescent="0.2"/>
    <row r="530" s="57" customFormat="1" ht="15.75" customHeight="1" x14ac:dyDescent="0.2"/>
    <row r="531" s="57" customFormat="1" ht="15.75" customHeight="1" x14ac:dyDescent="0.2"/>
    <row r="532" s="57" customFormat="1" ht="15.75" customHeight="1" x14ac:dyDescent="0.2"/>
    <row r="533" s="57" customFormat="1" ht="15.75" customHeight="1" x14ac:dyDescent="0.2"/>
    <row r="534" s="57" customFormat="1" ht="15.75" customHeight="1" x14ac:dyDescent="0.2"/>
    <row r="535" s="57" customFormat="1" ht="15.75" customHeight="1" x14ac:dyDescent="0.2"/>
    <row r="536" s="57" customFormat="1" ht="15.75" customHeight="1" x14ac:dyDescent="0.2"/>
    <row r="537" s="57" customFormat="1" ht="15.75" customHeight="1" x14ac:dyDescent="0.2"/>
    <row r="538" s="57" customFormat="1" ht="15.75" customHeight="1" x14ac:dyDescent="0.2"/>
    <row r="539" s="57" customFormat="1" ht="15.75" customHeight="1" x14ac:dyDescent="0.2"/>
    <row r="540" s="57" customFormat="1" ht="15.75" customHeight="1" x14ac:dyDescent="0.2"/>
    <row r="541" s="57" customFormat="1" ht="15.75" customHeight="1" x14ac:dyDescent="0.2"/>
    <row r="542" s="57" customFormat="1" ht="15.75" customHeight="1" x14ac:dyDescent="0.2"/>
    <row r="543" s="57" customFormat="1" ht="15.75" customHeight="1" x14ac:dyDescent="0.2"/>
    <row r="544" s="57" customFormat="1" ht="15.75" customHeight="1" x14ac:dyDescent="0.2"/>
    <row r="545" s="57" customFormat="1" ht="15.75" customHeight="1" x14ac:dyDescent="0.2"/>
    <row r="546" s="57" customFormat="1" ht="15.75" customHeight="1" x14ac:dyDescent="0.2"/>
    <row r="547" s="57" customFormat="1" ht="15.75" customHeight="1" x14ac:dyDescent="0.2"/>
    <row r="548" s="57" customFormat="1" ht="15.75" customHeight="1" x14ac:dyDescent="0.2"/>
    <row r="549" s="57" customFormat="1" ht="15.75" customHeight="1" x14ac:dyDescent="0.2"/>
    <row r="550" s="57" customFormat="1" ht="15.75" customHeight="1" x14ac:dyDescent="0.2"/>
    <row r="551" s="57" customFormat="1" ht="15.75" customHeight="1" x14ac:dyDescent="0.2"/>
    <row r="552" s="57" customFormat="1" ht="15.75" customHeight="1" x14ac:dyDescent="0.2"/>
    <row r="553" s="57" customFormat="1" ht="15.75" customHeight="1" x14ac:dyDescent="0.2"/>
    <row r="554" s="57" customFormat="1" ht="15.75" customHeight="1" x14ac:dyDescent="0.2"/>
    <row r="555" s="57" customFormat="1" ht="15.75" customHeight="1" x14ac:dyDescent="0.2"/>
    <row r="556" s="57" customFormat="1" ht="15.75" customHeight="1" x14ac:dyDescent="0.2"/>
    <row r="557" s="57" customFormat="1" ht="15.75" customHeight="1" x14ac:dyDescent="0.2"/>
    <row r="558" s="57" customFormat="1" ht="15.75" customHeight="1" x14ac:dyDescent="0.2"/>
    <row r="559" s="57" customFormat="1" ht="15.75" customHeight="1" x14ac:dyDescent="0.2"/>
    <row r="560" s="57" customFormat="1" ht="15.75" customHeight="1" x14ac:dyDescent="0.2"/>
    <row r="561" s="57" customFormat="1" ht="15.75" customHeight="1" x14ac:dyDescent="0.2"/>
    <row r="562" s="57" customFormat="1" ht="15.75" customHeight="1" x14ac:dyDescent="0.2"/>
    <row r="563" s="57" customFormat="1" ht="15.75" customHeight="1" x14ac:dyDescent="0.2"/>
    <row r="564" s="57" customFormat="1" ht="15.75" customHeight="1" x14ac:dyDescent="0.2"/>
    <row r="565" s="57" customFormat="1" ht="15.75" customHeight="1" x14ac:dyDescent="0.2"/>
    <row r="566" s="57" customFormat="1" ht="15.75" customHeight="1" x14ac:dyDescent="0.2"/>
    <row r="567" s="57" customFormat="1" ht="15.75" customHeight="1" x14ac:dyDescent="0.2"/>
    <row r="568" s="57" customFormat="1" ht="15.75" customHeight="1" x14ac:dyDescent="0.2"/>
    <row r="569" s="57" customFormat="1" ht="15.75" customHeight="1" x14ac:dyDescent="0.2"/>
    <row r="570" s="57" customFormat="1" ht="15.75" customHeight="1" x14ac:dyDescent="0.2"/>
    <row r="571" s="57" customFormat="1" ht="15.75" customHeight="1" x14ac:dyDescent="0.2"/>
    <row r="572" s="57" customFormat="1" ht="15.75" customHeight="1" x14ac:dyDescent="0.2"/>
    <row r="573" s="57" customFormat="1" ht="15.75" customHeight="1" x14ac:dyDescent="0.2"/>
    <row r="574" s="57" customFormat="1" ht="15.75" customHeight="1" x14ac:dyDescent="0.2"/>
    <row r="575" s="57" customFormat="1" ht="15.75" customHeight="1" x14ac:dyDescent="0.2"/>
    <row r="576" s="57" customFormat="1" ht="15.75" customHeight="1" x14ac:dyDescent="0.2"/>
    <row r="577" s="57" customFormat="1" ht="15.75" customHeight="1" x14ac:dyDescent="0.2"/>
    <row r="578" s="57" customFormat="1" ht="15.75" customHeight="1" x14ac:dyDescent="0.2"/>
    <row r="579" s="57" customFormat="1" ht="15.75" customHeight="1" x14ac:dyDescent="0.2"/>
    <row r="580" s="57" customFormat="1" ht="15.75" customHeight="1" x14ac:dyDescent="0.2"/>
    <row r="581" s="57" customFormat="1" ht="15.75" customHeight="1" x14ac:dyDescent="0.2"/>
    <row r="582" s="57" customFormat="1" ht="15.75" customHeight="1" x14ac:dyDescent="0.2"/>
    <row r="583" s="57" customFormat="1" ht="15.75" customHeight="1" x14ac:dyDescent="0.2"/>
    <row r="584" s="57" customFormat="1" ht="15.75" customHeight="1" x14ac:dyDescent="0.2"/>
    <row r="585" s="57" customFormat="1" ht="15.75" customHeight="1" x14ac:dyDescent="0.2"/>
    <row r="586" s="57" customFormat="1" ht="15.75" customHeight="1" x14ac:dyDescent="0.2"/>
    <row r="587" s="57" customFormat="1" ht="15.75" customHeight="1" x14ac:dyDescent="0.2"/>
    <row r="588" s="57" customFormat="1" ht="15.75" customHeight="1" x14ac:dyDescent="0.2"/>
    <row r="589" s="57" customFormat="1" ht="15.75" customHeight="1" x14ac:dyDescent="0.2"/>
    <row r="590" s="57" customFormat="1" ht="15.75" customHeight="1" x14ac:dyDescent="0.2"/>
    <row r="591" s="57" customFormat="1" ht="15.75" customHeight="1" x14ac:dyDescent="0.2"/>
    <row r="592" s="57" customFormat="1" ht="15.75" customHeight="1" x14ac:dyDescent="0.2"/>
    <row r="593" s="57" customFormat="1" ht="15.75" customHeight="1" x14ac:dyDescent="0.2"/>
    <row r="594" s="57" customFormat="1" ht="15.75" customHeight="1" x14ac:dyDescent="0.2"/>
    <row r="595" s="57" customFormat="1" ht="15.75" customHeight="1" x14ac:dyDescent="0.2"/>
    <row r="596" s="57" customFormat="1" ht="15.75" customHeight="1" x14ac:dyDescent="0.2"/>
    <row r="597" s="57" customFormat="1" ht="15.75" customHeight="1" x14ac:dyDescent="0.2"/>
    <row r="598" s="57" customFormat="1" ht="15.75" customHeight="1" x14ac:dyDescent="0.2"/>
    <row r="599" s="57" customFormat="1" ht="15.75" customHeight="1" x14ac:dyDescent="0.2"/>
    <row r="600" s="57" customFormat="1" ht="15.75" customHeight="1" x14ac:dyDescent="0.2"/>
    <row r="601" s="57" customFormat="1" ht="15.75" customHeight="1" x14ac:dyDescent="0.2"/>
    <row r="602" s="57" customFormat="1" ht="15.75" customHeight="1" x14ac:dyDescent="0.2"/>
    <row r="603" s="57" customFormat="1" ht="15.75" customHeight="1" x14ac:dyDescent="0.2"/>
    <row r="604" s="57" customFormat="1" ht="15.75" customHeight="1" x14ac:dyDescent="0.2"/>
    <row r="605" s="57" customFormat="1" ht="15.75" customHeight="1" x14ac:dyDescent="0.2"/>
    <row r="606" s="57" customFormat="1" ht="15.75" customHeight="1" x14ac:dyDescent="0.2"/>
    <row r="607" s="57" customFormat="1" ht="15.75" customHeight="1" x14ac:dyDescent="0.2"/>
    <row r="608" s="57" customFormat="1" ht="15.75" customHeight="1" x14ac:dyDescent="0.2"/>
    <row r="609" s="57" customFormat="1" ht="15.75" customHeight="1" x14ac:dyDescent="0.2"/>
    <row r="610" s="57" customFormat="1" ht="15.75" customHeight="1" x14ac:dyDescent="0.2"/>
    <row r="611" s="57" customFormat="1" ht="15.75" customHeight="1" x14ac:dyDescent="0.2"/>
    <row r="612" s="57" customFormat="1" ht="15.75" customHeight="1" x14ac:dyDescent="0.2"/>
    <row r="613" s="57" customFormat="1" ht="15.75" customHeight="1" x14ac:dyDescent="0.2"/>
    <row r="614" s="57" customFormat="1" ht="15.75" customHeight="1" x14ac:dyDescent="0.2"/>
    <row r="615" s="57" customFormat="1" ht="15.75" customHeight="1" x14ac:dyDescent="0.2"/>
    <row r="616" s="57" customFormat="1" ht="15.75" customHeight="1" x14ac:dyDescent="0.2"/>
    <row r="617" s="57" customFormat="1" ht="15.75" customHeight="1" x14ac:dyDescent="0.2"/>
    <row r="618" s="57" customFormat="1" ht="15.75" customHeight="1" x14ac:dyDescent="0.2"/>
    <row r="619" s="57" customFormat="1" ht="15.75" customHeight="1" x14ac:dyDescent="0.2"/>
    <row r="620" s="57" customFormat="1" ht="15.75" customHeight="1" x14ac:dyDescent="0.2"/>
    <row r="621" s="57" customFormat="1" ht="15.75" customHeight="1" x14ac:dyDescent="0.2"/>
    <row r="622" s="57" customFormat="1" ht="15.75" customHeight="1" x14ac:dyDescent="0.2"/>
    <row r="623" s="57" customFormat="1" ht="15.75" customHeight="1" x14ac:dyDescent="0.2"/>
    <row r="624" s="57" customFormat="1" ht="15.75" customHeight="1" x14ac:dyDescent="0.2"/>
    <row r="625" s="57" customFormat="1" ht="15.75" customHeight="1" x14ac:dyDescent="0.2"/>
    <row r="626" s="57" customFormat="1" ht="15.75" customHeight="1" x14ac:dyDescent="0.2"/>
    <row r="627" s="57" customFormat="1" ht="15.75" customHeight="1" x14ac:dyDescent="0.2"/>
    <row r="628" s="57" customFormat="1" ht="15.75" customHeight="1" x14ac:dyDescent="0.2"/>
    <row r="629" s="57" customFormat="1" ht="15.75" customHeight="1" x14ac:dyDescent="0.2"/>
    <row r="630" s="57" customFormat="1" ht="15.75" customHeight="1" x14ac:dyDescent="0.2"/>
    <row r="631" s="57" customFormat="1" ht="15.75" customHeight="1" x14ac:dyDescent="0.2"/>
    <row r="632" s="57" customFormat="1" ht="15.75" customHeight="1" x14ac:dyDescent="0.2"/>
    <row r="633" s="57" customFormat="1" ht="15.75" customHeight="1" x14ac:dyDescent="0.2"/>
    <row r="634" s="57" customFormat="1" ht="15.75" customHeight="1" x14ac:dyDescent="0.2"/>
    <row r="635" s="57" customFormat="1" ht="15.75" customHeight="1" x14ac:dyDescent="0.2"/>
    <row r="636" s="57" customFormat="1" ht="15.75" customHeight="1" x14ac:dyDescent="0.2"/>
    <row r="637" s="57" customFormat="1" ht="15.75" customHeight="1" x14ac:dyDescent="0.2"/>
    <row r="638" s="57" customFormat="1" ht="15.75" customHeight="1" x14ac:dyDescent="0.2"/>
    <row r="639" s="57" customFormat="1" ht="15.75" customHeight="1" x14ac:dyDescent="0.2"/>
    <row r="640" s="57" customFormat="1" ht="15.75" customHeight="1" x14ac:dyDescent="0.2"/>
    <row r="641" s="57" customFormat="1" ht="15.75" customHeight="1" x14ac:dyDescent="0.2"/>
    <row r="642" s="57" customFormat="1" ht="15.75" customHeight="1" x14ac:dyDescent="0.2"/>
    <row r="643" s="57" customFormat="1" ht="15.75" customHeight="1" x14ac:dyDescent="0.2"/>
    <row r="644" s="57" customFormat="1" ht="15.75" customHeight="1" x14ac:dyDescent="0.2"/>
    <row r="645" s="57" customFormat="1" ht="15.75" customHeight="1" x14ac:dyDescent="0.2"/>
    <row r="646" s="57" customFormat="1" ht="15.75" customHeight="1" x14ac:dyDescent="0.2"/>
    <row r="647" s="57" customFormat="1" ht="15.75" customHeight="1" x14ac:dyDescent="0.2"/>
    <row r="648" s="57" customFormat="1" ht="15.75" customHeight="1" x14ac:dyDescent="0.2"/>
    <row r="649" s="57" customFormat="1" ht="15.75" customHeight="1" x14ac:dyDescent="0.2"/>
    <row r="650" s="57" customFormat="1" ht="15.75" customHeight="1" x14ac:dyDescent="0.2"/>
    <row r="651" s="57" customFormat="1" ht="15.75" customHeight="1" x14ac:dyDescent="0.2"/>
    <row r="652" s="57" customFormat="1" ht="15.75" customHeight="1" x14ac:dyDescent="0.2"/>
    <row r="653" s="57" customFormat="1" ht="15.75" customHeight="1" x14ac:dyDescent="0.2"/>
    <row r="654" s="57" customFormat="1" ht="15.75" customHeight="1" x14ac:dyDescent="0.2"/>
    <row r="655" s="57" customFormat="1" ht="15.75" customHeight="1" x14ac:dyDescent="0.2"/>
    <row r="656" s="57" customFormat="1" ht="15.75" customHeight="1" x14ac:dyDescent="0.2"/>
    <row r="657" s="57" customFormat="1" ht="15.75" customHeight="1" x14ac:dyDescent="0.2"/>
    <row r="658" s="57" customFormat="1" ht="15.75" customHeight="1" x14ac:dyDescent="0.2"/>
    <row r="659" s="57" customFormat="1" ht="15.75" customHeight="1" x14ac:dyDescent="0.2"/>
    <row r="660" s="57" customFormat="1" ht="15.75" customHeight="1" x14ac:dyDescent="0.2"/>
    <row r="661" s="57" customFormat="1" ht="15.75" customHeight="1" x14ac:dyDescent="0.2"/>
    <row r="662" s="57" customFormat="1" ht="15.75" customHeight="1" x14ac:dyDescent="0.2"/>
    <row r="663" s="57" customFormat="1" ht="15.75" customHeight="1" x14ac:dyDescent="0.2"/>
    <row r="664" s="57" customFormat="1" ht="15.75" customHeight="1" x14ac:dyDescent="0.2"/>
    <row r="665" s="57" customFormat="1" ht="15.75" customHeight="1" x14ac:dyDescent="0.2"/>
    <row r="666" s="57" customFormat="1" ht="15.75" customHeight="1" x14ac:dyDescent="0.2"/>
    <row r="667" s="57" customFormat="1" ht="15.75" customHeight="1" x14ac:dyDescent="0.2"/>
    <row r="668" s="57" customFormat="1" ht="15.75" customHeight="1" x14ac:dyDescent="0.2"/>
    <row r="669" s="57" customFormat="1" ht="15.75" customHeight="1" x14ac:dyDescent="0.2"/>
    <row r="670" s="57" customFormat="1" ht="15.75" customHeight="1" x14ac:dyDescent="0.2"/>
    <row r="671" s="57" customFormat="1" ht="15.75" customHeight="1" x14ac:dyDescent="0.2"/>
    <row r="672" s="57" customFormat="1" ht="15.75" customHeight="1" x14ac:dyDescent="0.2"/>
    <row r="673" s="57" customFormat="1" ht="15.75" customHeight="1" x14ac:dyDescent="0.2"/>
    <row r="674" s="57" customFormat="1" ht="15.75" customHeight="1" x14ac:dyDescent="0.2"/>
    <row r="675" s="57" customFormat="1" ht="15.75" customHeight="1" x14ac:dyDescent="0.2"/>
    <row r="676" s="57" customFormat="1" ht="15.75" customHeight="1" x14ac:dyDescent="0.2"/>
    <row r="677" s="57" customFormat="1" ht="15.75" customHeight="1" x14ac:dyDescent="0.2"/>
    <row r="678" s="57" customFormat="1" ht="15.75" customHeight="1" x14ac:dyDescent="0.2"/>
    <row r="679" s="57" customFormat="1" ht="15.75" customHeight="1" x14ac:dyDescent="0.2"/>
    <row r="680" s="57" customFormat="1" ht="15.75" customHeight="1" x14ac:dyDescent="0.2"/>
    <row r="681" s="57" customFormat="1" ht="15.75" customHeight="1" x14ac:dyDescent="0.2"/>
    <row r="682" s="57" customFormat="1" ht="15.75" customHeight="1" x14ac:dyDescent="0.2"/>
    <row r="683" s="57" customFormat="1" ht="15.75" customHeight="1" x14ac:dyDescent="0.2"/>
    <row r="684" s="57" customFormat="1" ht="15.75" customHeight="1" x14ac:dyDescent="0.2"/>
    <row r="685" s="57" customFormat="1" ht="15.75" customHeight="1" x14ac:dyDescent="0.2"/>
    <row r="686" s="57" customFormat="1" ht="15.75" customHeight="1" x14ac:dyDescent="0.2"/>
    <row r="687" s="57" customFormat="1" ht="15.75" customHeight="1" x14ac:dyDescent="0.2"/>
    <row r="688" s="57" customFormat="1" ht="15.75" customHeight="1" x14ac:dyDescent="0.2"/>
    <row r="689" s="57" customFormat="1" ht="15.75" customHeight="1" x14ac:dyDescent="0.2"/>
    <row r="690" s="57" customFormat="1" ht="15.75" customHeight="1" x14ac:dyDescent="0.2"/>
    <row r="691" s="57" customFormat="1" ht="15.75" customHeight="1" x14ac:dyDescent="0.2"/>
    <row r="692" s="57" customFormat="1" ht="15.75" customHeight="1" x14ac:dyDescent="0.2"/>
    <row r="693" s="57" customFormat="1" ht="15.75" customHeight="1" x14ac:dyDescent="0.2"/>
    <row r="694" s="57" customFormat="1" ht="15.75" customHeight="1" x14ac:dyDescent="0.2"/>
    <row r="695" s="57" customFormat="1" ht="15.75" customHeight="1" x14ac:dyDescent="0.2"/>
    <row r="696" s="57" customFormat="1" ht="15.75" customHeight="1" x14ac:dyDescent="0.2"/>
    <row r="697" s="57" customFormat="1" ht="15.75" customHeight="1" x14ac:dyDescent="0.2"/>
    <row r="698" s="57" customFormat="1" ht="15.75" customHeight="1" x14ac:dyDescent="0.2"/>
    <row r="699" s="57" customFormat="1" ht="15.75" customHeight="1" x14ac:dyDescent="0.2"/>
    <row r="700" s="57" customFormat="1" ht="15.75" customHeight="1" x14ac:dyDescent="0.2"/>
    <row r="701" s="57" customFormat="1" ht="15.75" customHeight="1" x14ac:dyDescent="0.2"/>
    <row r="702" s="57" customFormat="1" ht="15.75" customHeight="1" x14ac:dyDescent="0.2"/>
    <row r="703" s="57" customFormat="1" ht="15.75" customHeight="1" x14ac:dyDescent="0.2"/>
    <row r="704" s="57" customFormat="1" ht="15.75" customHeight="1" x14ac:dyDescent="0.2"/>
    <row r="705" s="57" customFormat="1" ht="15.75" customHeight="1" x14ac:dyDescent="0.2"/>
    <row r="706" s="57" customFormat="1" ht="15.75" customHeight="1" x14ac:dyDescent="0.2"/>
    <row r="707" s="57" customFormat="1" ht="15.75" customHeight="1" x14ac:dyDescent="0.2"/>
    <row r="708" s="57" customFormat="1" ht="15.75" customHeight="1" x14ac:dyDescent="0.2"/>
    <row r="709" s="57" customFormat="1" ht="15.75" customHeight="1" x14ac:dyDescent="0.2"/>
    <row r="710" s="57" customFormat="1" ht="15.75" customHeight="1" x14ac:dyDescent="0.2"/>
    <row r="711" s="57" customFormat="1" ht="15.75" customHeight="1" x14ac:dyDescent="0.2"/>
    <row r="712" s="57" customFormat="1" ht="15.75" customHeight="1" x14ac:dyDescent="0.2"/>
    <row r="713" s="57" customFormat="1" ht="15.75" customHeight="1" x14ac:dyDescent="0.2"/>
    <row r="714" s="57" customFormat="1" ht="15.75" customHeight="1" x14ac:dyDescent="0.2"/>
    <row r="715" s="57" customFormat="1" ht="15.75" customHeight="1" x14ac:dyDescent="0.2"/>
    <row r="716" s="57" customFormat="1" ht="15.75" customHeight="1" x14ac:dyDescent="0.2"/>
    <row r="717" s="57" customFormat="1" ht="15.75" customHeight="1" x14ac:dyDescent="0.2"/>
    <row r="718" s="57" customFormat="1" ht="15.75" customHeight="1" x14ac:dyDescent="0.2"/>
    <row r="719" s="57" customFormat="1" ht="15.75" customHeight="1" x14ac:dyDescent="0.2"/>
    <row r="720" s="57" customFormat="1" ht="15.75" customHeight="1" x14ac:dyDescent="0.2"/>
    <row r="721" s="57" customFormat="1" ht="15.75" customHeight="1" x14ac:dyDescent="0.2"/>
    <row r="722" s="57" customFormat="1" ht="15.75" customHeight="1" x14ac:dyDescent="0.2"/>
    <row r="723" s="57" customFormat="1" ht="15.75" customHeight="1" x14ac:dyDescent="0.2"/>
    <row r="724" s="57" customFormat="1" ht="15.75" customHeight="1" x14ac:dyDescent="0.2"/>
    <row r="725" s="57" customFormat="1" ht="15.75" customHeight="1" x14ac:dyDescent="0.2"/>
    <row r="726" s="57" customFormat="1" ht="15.75" customHeight="1" x14ac:dyDescent="0.2"/>
    <row r="727" s="57" customFormat="1" ht="15.75" customHeight="1" x14ac:dyDescent="0.2"/>
    <row r="728" s="57" customFormat="1" ht="15.75" customHeight="1" x14ac:dyDescent="0.2"/>
    <row r="729" s="57" customFormat="1" ht="15.75" customHeight="1" x14ac:dyDescent="0.2"/>
    <row r="730" s="57" customFormat="1" ht="15.75" customHeight="1" x14ac:dyDescent="0.2"/>
    <row r="731" s="57" customFormat="1" ht="15.75" customHeight="1" x14ac:dyDescent="0.2"/>
    <row r="732" s="57" customFormat="1" ht="15.75" customHeight="1" x14ac:dyDescent="0.2"/>
    <row r="733" s="57" customFormat="1" ht="15.75" customHeight="1" x14ac:dyDescent="0.2"/>
    <row r="734" s="57" customFormat="1" ht="15.75" customHeight="1" x14ac:dyDescent="0.2"/>
    <row r="735" s="57" customFormat="1" ht="15.75" customHeight="1" x14ac:dyDescent="0.2"/>
    <row r="736" s="57" customFormat="1" ht="15.75" customHeight="1" x14ac:dyDescent="0.2"/>
    <row r="737" s="57" customFormat="1" ht="15.75" customHeight="1" x14ac:dyDescent="0.2"/>
    <row r="738" s="57" customFormat="1" ht="15.75" customHeight="1" x14ac:dyDescent="0.2"/>
    <row r="739" s="57" customFormat="1" ht="15.75" customHeight="1" x14ac:dyDescent="0.2"/>
    <row r="740" s="57" customFormat="1" ht="15.75" customHeight="1" x14ac:dyDescent="0.2"/>
    <row r="741" s="57" customFormat="1" ht="15.75" customHeight="1" x14ac:dyDescent="0.2"/>
    <row r="742" s="57" customFormat="1" ht="15.75" customHeight="1" x14ac:dyDescent="0.2"/>
    <row r="743" s="57" customFormat="1" ht="15.75" customHeight="1" x14ac:dyDescent="0.2"/>
    <row r="744" s="57" customFormat="1" ht="15.75" customHeight="1" x14ac:dyDescent="0.2"/>
    <row r="745" s="57" customFormat="1" ht="15.75" customHeight="1" x14ac:dyDescent="0.2"/>
    <row r="746" s="57" customFormat="1" ht="15.75" customHeight="1" x14ac:dyDescent="0.2"/>
    <row r="747" s="57" customFormat="1" ht="15.75" customHeight="1" x14ac:dyDescent="0.2"/>
    <row r="748" s="57" customFormat="1" ht="15.75" customHeight="1" x14ac:dyDescent="0.2"/>
    <row r="749" s="57" customFormat="1" ht="15.75" customHeight="1" x14ac:dyDescent="0.2"/>
    <row r="750" s="57" customFormat="1" ht="15.75" customHeight="1" x14ac:dyDescent="0.2"/>
    <row r="751" s="57" customFormat="1" ht="15.75" customHeight="1" x14ac:dyDescent="0.2"/>
    <row r="752" s="57" customFormat="1" ht="15.75" customHeight="1" x14ac:dyDescent="0.2"/>
    <row r="753" s="57" customFormat="1" ht="15.75" customHeight="1" x14ac:dyDescent="0.2"/>
    <row r="754" s="57" customFormat="1" ht="15.75" customHeight="1" x14ac:dyDescent="0.2"/>
    <row r="755" s="57" customFormat="1" ht="15.75" customHeight="1" x14ac:dyDescent="0.2"/>
    <row r="756" s="57" customFormat="1" ht="15.75" customHeight="1" x14ac:dyDescent="0.2"/>
    <row r="757" s="57" customFormat="1" ht="15.75" customHeight="1" x14ac:dyDescent="0.2"/>
    <row r="758" s="57" customFormat="1" ht="15.75" customHeight="1" x14ac:dyDescent="0.2"/>
    <row r="759" s="57" customFormat="1" ht="15.75" customHeight="1" x14ac:dyDescent="0.2"/>
    <row r="760" s="57" customFormat="1" ht="15.75" customHeight="1" x14ac:dyDescent="0.2"/>
    <row r="761" s="57" customFormat="1" ht="15.75" customHeight="1" x14ac:dyDescent="0.2"/>
    <row r="762" s="57" customFormat="1" ht="15.75" customHeight="1" x14ac:dyDescent="0.2"/>
    <row r="763" s="57" customFormat="1" ht="15.75" customHeight="1" x14ac:dyDescent="0.2"/>
    <row r="764" s="57" customFormat="1" ht="15.75" customHeight="1" x14ac:dyDescent="0.2"/>
    <row r="765" s="57" customFormat="1" ht="15.75" customHeight="1" x14ac:dyDescent="0.2"/>
    <row r="766" s="57" customFormat="1" ht="15.75" customHeight="1" x14ac:dyDescent="0.2"/>
    <row r="767" s="57" customFormat="1" ht="15.75" customHeight="1" x14ac:dyDescent="0.2"/>
    <row r="768" s="57" customFormat="1" ht="15.75" customHeight="1" x14ac:dyDescent="0.2"/>
    <row r="769" s="57" customFormat="1" ht="15.75" customHeight="1" x14ac:dyDescent="0.2"/>
    <row r="770" s="57" customFormat="1" ht="15.75" customHeight="1" x14ac:dyDescent="0.2"/>
    <row r="771" s="57" customFormat="1" ht="15.75" customHeight="1" x14ac:dyDescent="0.2"/>
    <row r="772" s="57" customFormat="1" ht="15.75" customHeight="1" x14ac:dyDescent="0.2"/>
    <row r="773" s="57" customFormat="1" ht="15.75" customHeight="1" x14ac:dyDescent="0.2"/>
    <row r="774" s="57" customFormat="1" ht="15.75" customHeight="1" x14ac:dyDescent="0.2"/>
    <row r="775" s="57" customFormat="1" ht="15.75" customHeight="1" x14ac:dyDescent="0.2"/>
    <row r="776" s="57" customFormat="1" ht="15.75" customHeight="1" x14ac:dyDescent="0.2"/>
    <row r="777" s="57" customFormat="1" ht="15.75" customHeight="1" x14ac:dyDescent="0.2"/>
    <row r="778" s="57" customFormat="1" ht="15.75" customHeight="1" x14ac:dyDescent="0.2"/>
    <row r="779" s="57" customFormat="1" ht="15.75" customHeight="1" x14ac:dyDescent="0.2"/>
    <row r="780" s="57" customFormat="1" ht="15.75" customHeight="1" x14ac:dyDescent="0.2"/>
    <row r="781" s="57" customFormat="1" ht="15.75" customHeight="1" x14ac:dyDescent="0.2"/>
    <row r="782" s="57" customFormat="1" ht="15.75" customHeight="1" x14ac:dyDescent="0.2"/>
    <row r="783" s="57" customFormat="1" ht="15.75" customHeight="1" x14ac:dyDescent="0.2"/>
    <row r="784" s="57" customFormat="1" ht="15.75" customHeight="1" x14ac:dyDescent="0.2"/>
    <row r="785" s="57" customFormat="1" ht="15.75" customHeight="1" x14ac:dyDescent="0.2"/>
    <row r="786" s="57" customFormat="1" ht="15.75" customHeight="1" x14ac:dyDescent="0.2"/>
    <row r="787" s="57" customFormat="1" ht="15.75" customHeight="1" x14ac:dyDescent="0.2"/>
    <row r="788" s="57" customFormat="1" ht="15.75" customHeight="1" x14ac:dyDescent="0.2"/>
    <row r="789" s="57" customFormat="1" ht="15.75" customHeight="1" x14ac:dyDescent="0.2"/>
    <row r="790" s="57" customFormat="1" ht="15.75" customHeight="1" x14ac:dyDescent="0.2"/>
    <row r="791" s="57" customFormat="1" ht="15.75" customHeight="1" x14ac:dyDescent="0.2"/>
    <row r="792" s="57" customFormat="1" ht="15.75" customHeight="1" x14ac:dyDescent="0.2"/>
    <row r="793" s="57" customFormat="1" ht="15.75" customHeight="1" x14ac:dyDescent="0.2"/>
    <row r="794" s="57" customFormat="1" ht="15.75" customHeight="1" x14ac:dyDescent="0.2"/>
    <row r="795" s="57" customFormat="1" ht="15.75" customHeight="1" x14ac:dyDescent="0.2"/>
    <row r="796" s="57" customFormat="1" ht="15.75" customHeight="1" x14ac:dyDescent="0.2"/>
    <row r="797" s="57" customFormat="1" ht="15.75" customHeight="1" x14ac:dyDescent="0.2"/>
    <row r="798" s="57" customFormat="1" ht="15.75" customHeight="1" x14ac:dyDescent="0.2"/>
    <row r="799" s="57" customFormat="1" ht="15.75" customHeight="1" x14ac:dyDescent="0.2"/>
    <row r="800" s="57" customFormat="1" ht="15.75" customHeight="1" x14ac:dyDescent="0.2"/>
    <row r="801" s="57" customFormat="1" ht="15.75" customHeight="1" x14ac:dyDescent="0.2"/>
    <row r="802" s="57" customFormat="1" ht="15.75" customHeight="1" x14ac:dyDescent="0.2"/>
    <row r="803" s="57" customFormat="1" ht="15.75" customHeight="1" x14ac:dyDescent="0.2"/>
    <row r="804" s="57" customFormat="1" ht="15.75" customHeight="1" x14ac:dyDescent="0.2"/>
    <row r="805" s="57" customFormat="1" ht="15.75" customHeight="1" x14ac:dyDescent="0.2"/>
    <row r="806" s="57" customFormat="1" ht="15.75" customHeight="1" x14ac:dyDescent="0.2"/>
    <row r="807" s="57" customFormat="1" ht="15.75" customHeight="1" x14ac:dyDescent="0.2"/>
    <row r="808" s="57" customFormat="1" ht="15.75" customHeight="1" x14ac:dyDescent="0.2"/>
    <row r="809" s="57" customFormat="1" ht="15.75" customHeight="1" x14ac:dyDescent="0.2"/>
    <row r="810" s="57" customFormat="1" ht="15.75" customHeight="1" x14ac:dyDescent="0.2"/>
    <row r="811" s="57" customFormat="1" ht="15.75" customHeight="1" x14ac:dyDescent="0.2"/>
    <row r="812" s="57" customFormat="1" ht="15.75" customHeight="1" x14ac:dyDescent="0.2"/>
    <row r="813" s="57" customFormat="1" ht="15.75" customHeight="1" x14ac:dyDescent="0.2"/>
    <row r="814" s="57" customFormat="1" ht="15.75" customHeight="1" x14ac:dyDescent="0.2"/>
    <row r="815" s="57" customFormat="1" ht="15.75" customHeight="1" x14ac:dyDescent="0.2"/>
    <row r="816" s="57" customFormat="1" ht="15.75" customHeight="1" x14ac:dyDescent="0.2"/>
    <row r="817" s="57" customFormat="1" ht="15.75" customHeight="1" x14ac:dyDescent="0.2"/>
    <row r="818" s="57" customFormat="1" ht="15.75" customHeight="1" x14ac:dyDescent="0.2"/>
    <row r="819" s="57" customFormat="1" ht="15.75" customHeight="1" x14ac:dyDescent="0.2"/>
    <row r="820" s="57" customFormat="1" ht="15.75" customHeight="1" x14ac:dyDescent="0.2"/>
    <row r="821" s="57" customFormat="1" ht="15.75" customHeight="1" x14ac:dyDescent="0.2"/>
    <row r="822" s="57" customFormat="1" ht="15.75" customHeight="1" x14ac:dyDescent="0.2"/>
    <row r="823" s="57" customFormat="1" ht="15.75" customHeight="1" x14ac:dyDescent="0.2"/>
    <row r="824" s="57" customFormat="1" ht="15.75" customHeight="1" x14ac:dyDescent="0.2"/>
    <row r="825" s="57" customFormat="1" ht="15.75" customHeight="1" x14ac:dyDescent="0.2"/>
    <row r="826" s="57" customFormat="1" ht="15.75" customHeight="1" x14ac:dyDescent="0.2"/>
    <row r="827" s="57" customFormat="1" ht="15.75" customHeight="1" x14ac:dyDescent="0.2"/>
    <row r="828" s="57" customFormat="1" ht="15.75" customHeight="1" x14ac:dyDescent="0.2"/>
    <row r="829" s="57" customFormat="1" ht="15.75" customHeight="1" x14ac:dyDescent="0.2"/>
    <row r="830" s="57" customFormat="1" ht="15.75" customHeight="1" x14ac:dyDescent="0.2"/>
    <row r="831" s="57" customFormat="1" ht="15.75" customHeight="1" x14ac:dyDescent="0.2"/>
    <row r="832" s="57" customFormat="1" ht="15.75" customHeight="1" x14ac:dyDescent="0.2"/>
    <row r="833" s="57" customFormat="1" ht="15.75" customHeight="1" x14ac:dyDescent="0.2"/>
    <row r="834" s="57" customFormat="1" ht="15.75" customHeight="1" x14ac:dyDescent="0.2"/>
    <row r="835" s="57" customFormat="1" ht="15.75" customHeight="1" x14ac:dyDescent="0.2"/>
    <row r="836" s="57" customFormat="1" ht="15.75" customHeight="1" x14ac:dyDescent="0.2"/>
    <row r="837" s="57" customFormat="1" ht="15.75" customHeight="1" x14ac:dyDescent="0.2"/>
    <row r="838" s="57" customFormat="1" ht="15.75" customHeight="1" x14ac:dyDescent="0.2"/>
    <row r="839" s="57" customFormat="1" ht="15.75" customHeight="1" x14ac:dyDescent="0.2"/>
    <row r="840" s="57" customFormat="1" ht="15.75" customHeight="1" x14ac:dyDescent="0.2"/>
    <row r="841" s="57" customFormat="1" ht="15.75" customHeight="1" x14ac:dyDescent="0.2"/>
    <row r="842" s="57" customFormat="1" ht="15.75" customHeight="1" x14ac:dyDescent="0.2"/>
    <row r="843" s="57" customFormat="1" ht="15.75" customHeight="1" x14ac:dyDescent="0.2"/>
    <row r="844" s="57" customFormat="1" ht="15.75" customHeight="1" x14ac:dyDescent="0.2"/>
    <row r="845" s="57" customFormat="1" ht="15.75" customHeight="1" x14ac:dyDescent="0.2"/>
    <row r="846" s="57" customFormat="1" ht="15.75" customHeight="1" x14ac:dyDescent="0.2"/>
    <row r="847" s="57" customFormat="1" ht="15.75" customHeight="1" x14ac:dyDescent="0.2"/>
    <row r="848" s="57" customFormat="1" ht="15.75" customHeight="1" x14ac:dyDescent="0.2"/>
    <row r="849" s="57" customFormat="1" ht="15.75" customHeight="1" x14ac:dyDescent="0.2"/>
    <row r="850" s="57" customFormat="1" ht="15.75" customHeight="1" x14ac:dyDescent="0.2"/>
    <row r="851" s="57" customFormat="1" ht="15.75" customHeight="1" x14ac:dyDescent="0.2"/>
    <row r="852" s="57" customFormat="1" ht="15.75" customHeight="1" x14ac:dyDescent="0.2"/>
    <row r="853" s="57" customFormat="1" ht="15.75" customHeight="1" x14ac:dyDescent="0.2"/>
    <row r="854" s="57" customFormat="1" ht="15.75" customHeight="1" x14ac:dyDescent="0.2"/>
    <row r="855" s="57" customFormat="1" ht="15.75" customHeight="1" x14ac:dyDescent="0.2"/>
    <row r="856" s="57" customFormat="1" ht="15.75" customHeight="1" x14ac:dyDescent="0.2"/>
    <row r="857" s="57" customFormat="1" ht="15.75" customHeight="1" x14ac:dyDescent="0.2"/>
    <row r="858" s="57" customFormat="1" ht="15.75" customHeight="1" x14ac:dyDescent="0.2"/>
    <row r="859" s="57" customFormat="1" ht="15.75" customHeight="1" x14ac:dyDescent="0.2"/>
    <row r="860" s="57" customFormat="1" ht="15.75" customHeight="1" x14ac:dyDescent="0.2"/>
    <row r="861" s="57" customFormat="1" ht="15.75" customHeight="1" x14ac:dyDescent="0.2"/>
    <row r="862" s="57" customFormat="1" ht="15.75" customHeight="1" x14ac:dyDescent="0.2"/>
    <row r="863" s="57" customFormat="1" ht="15.75" customHeight="1" x14ac:dyDescent="0.2"/>
    <row r="864" s="57" customFormat="1" ht="15.75" customHeight="1" x14ac:dyDescent="0.2"/>
    <row r="865" s="57" customFormat="1" ht="15.75" customHeight="1" x14ac:dyDescent="0.2"/>
    <row r="866" s="57" customFormat="1" ht="15.75" customHeight="1" x14ac:dyDescent="0.2"/>
    <row r="867" s="57" customFormat="1" ht="15.75" customHeight="1" x14ac:dyDescent="0.2"/>
    <row r="868" s="57" customFormat="1" ht="15.75" customHeight="1" x14ac:dyDescent="0.2"/>
    <row r="869" s="57" customFormat="1" ht="15.75" customHeight="1" x14ac:dyDescent="0.2"/>
    <row r="870" s="57" customFormat="1" ht="15.75" customHeight="1" x14ac:dyDescent="0.2"/>
    <row r="871" s="57" customFormat="1" ht="15.75" customHeight="1" x14ac:dyDescent="0.2"/>
    <row r="872" s="57" customFormat="1" ht="15.75" customHeight="1" x14ac:dyDescent="0.2"/>
    <row r="873" s="57" customFormat="1" ht="15.75" customHeight="1" x14ac:dyDescent="0.2"/>
    <row r="874" s="57" customFormat="1" ht="15.75" customHeight="1" x14ac:dyDescent="0.2"/>
    <row r="875" s="57" customFormat="1" ht="15.75" customHeight="1" x14ac:dyDescent="0.2"/>
    <row r="876" s="57" customFormat="1" ht="15.75" customHeight="1" x14ac:dyDescent="0.2"/>
    <row r="877" s="57" customFormat="1" ht="15.75" customHeight="1" x14ac:dyDescent="0.2"/>
    <row r="878" s="57" customFormat="1" ht="15.75" customHeight="1" x14ac:dyDescent="0.2"/>
    <row r="879" s="57" customFormat="1" ht="15.75" customHeight="1" x14ac:dyDescent="0.2"/>
    <row r="880" s="57" customFormat="1" ht="15.75" customHeight="1" x14ac:dyDescent="0.2"/>
    <row r="881" s="57" customFormat="1" ht="15.75" customHeight="1" x14ac:dyDescent="0.2"/>
    <row r="882" s="57" customFormat="1" ht="15.75" customHeight="1" x14ac:dyDescent="0.2"/>
    <row r="883" s="57" customFormat="1" ht="15.75" customHeight="1" x14ac:dyDescent="0.2"/>
    <row r="884" s="57" customFormat="1" ht="15.75" customHeight="1" x14ac:dyDescent="0.2"/>
    <row r="885" s="57" customFormat="1" ht="15.75" customHeight="1" x14ac:dyDescent="0.2"/>
    <row r="886" s="57" customFormat="1" ht="15.75" customHeight="1" x14ac:dyDescent="0.2"/>
    <row r="887" s="57" customFormat="1" ht="15.75" customHeight="1" x14ac:dyDescent="0.2"/>
    <row r="888" s="57" customFormat="1" ht="15.75" customHeight="1" x14ac:dyDescent="0.2"/>
    <row r="889" s="57" customFormat="1" ht="15.75" customHeight="1" x14ac:dyDescent="0.2"/>
    <row r="890" s="57" customFormat="1" ht="15.75" customHeight="1" x14ac:dyDescent="0.2"/>
    <row r="891" s="57" customFormat="1" ht="15.75" customHeight="1" x14ac:dyDescent="0.2"/>
    <row r="892" s="57" customFormat="1" ht="15.75" customHeight="1" x14ac:dyDescent="0.2"/>
    <row r="893" s="57" customFormat="1" ht="15.75" customHeight="1" x14ac:dyDescent="0.2"/>
    <row r="894" s="57" customFormat="1" ht="15.75" customHeight="1" x14ac:dyDescent="0.2"/>
    <row r="895" s="57" customFormat="1" ht="15.75" customHeight="1" x14ac:dyDescent="0.2"/>
    <row r="896" s="57" customFormat="1" ht="15.75" customHeight="1" x14ac:dyDescent="0.2"/>
    <row r="897" s="57" customFormat="1" ht="15.75" customHeight="1" x14ac:dyDescent="0.2"/>
    <row r="898" s="57" customFormat="1" ht="15.75" customHeight="1" x14ac:dyDescent="0.2"/>
    <row r="899" s="57" customFormat="1" ht="15.75" customHeight="1" x14ac:dyDescent="0.2"/>
    <row r="900" s="57" customFormat="1" ht="15.75" customHeight="1" x14ac:dyDescent="0.2"/>
    <row r="901" s="57" customFormat="1" ht="15.75" customHeight="1" x14ac:dyDescent="0.2"/>
    <row r="902" s="57" customFormat="1" ht="15.75" customHeight="1" x14ac:dyDescent="0.2"/>
    <row r="903" s="57" customFormat="1" ht="15.75" customHeight="1" x14ac:dyDescent="0.2"/>
    <row r="904" s="57" customFormat="1" ht="15.75" customHeight="1" x14ac:dyDescent="0.2"/>
    <row r="905" s="57" customFormat="1" ht="15.75" customHeight="1" x14ac:dyDescent="0.2"/>
    <row r="906" s="57" customFormat="1" ht="15.75" customHeight="1" x14ac:dyDescent="0.2"/>
    <row r="907" s="57" customFormat="1" ht="15.75" customHeight="1" x14ac:dyDescent="0.2"/>
    <row r="908" s="57" customFormat="1" ht="15.75" customHeight="1" x14ac:dyDescent="0.2"/>
    <row r="909" s="57" customFormat="1" ht="15.75" customHeight="1" x14ac:dyDescent="0.2"/>
    <row r="910" s="57" customFormat="1" ht="15.75" customHeight="1" x14ac:dyDescent="0.2"/>
    <row r="911" s="57" customFormat="1" ht="15.75" customHeight="1" x14ac:dyDescent="0.2"/>
    <row r="912" s="57" customFormat="1" ht="15.75" customHeight="1" x14ac:dyDescent="0.2"/>
    <row r="913" s="57" customFormat="1" ht="15.75" customHeight="1" x14ac:dyDescent="0.2"/>
    <row r="914" s="57" customFormat="1" ht="15.75" customHeight="1" x14ac:dyDescent="0.2"/>
    <row r="915" s="57" customFormat="1" ht="15.75" customHeight="1" x14ac:dyDescent="0.2"/>
    <row r="916" s="57" customFormat="1" ht="15.75" customHeight="1" x14ac:dyDescent="0.2"/>
    <row r="917" s="57" customFormat="1" ht="15.75" customHeight="1" x14ac:dyDescent="0.2"/>
    <row r="918" s="57" customFormat="1" ht="15.75" customHeight="1" x14ac:dyDescent="0.2"/>
    <row r="919" s="57" customFormat="1" ht="15.75" customHeight="1" x14ac:dyDescent="0.2"/>
    <row r="920" s="57" customFormat="1" ht="15.75" customHeight="1" x14ac:dyDescent="0.2"/>
    <row r="921" s="57" customFormat="1" ht="15.75" customHeight="1" x14ac:dyDescent="0.2"/>
    <row r="922" s="57" customFormat="1" ht="15.75" customHeight="1" x14ac:dyDescent="0.2"/>
    <row r="923" s="57" customFormat="1" ht="15.75" customHeight="1" x14ac:dyDescent="0.2"/>
    <row r="924" s="57" customFormat="1" ht="15.75" customHeight="1" x14ac:dyDescent="0.2"/>
    <row r="925" s="57" customFormat="1" ht="15.75" customHeight="1" x14ac:dyDescent="0.2"/>
    <row r="926" s="57" customFormat="1" ht="15.75" customHeight="1" x14ac:dyDescent="0.2"/>
    <row r="927" s="57" customFormat="1" ht="15.75" customHeight="1" x14ac:dyDescent="0.2"/>
    <row r="928" s="57" customFormat="1" ht="15.75" customHeight="1" x14ac:dyDescent="0.2"/>
    <row r="929" s="57" customFormat="1" ht="15.75" customHeight="1" x14ac:dyDescent="0.2"/>
    <row r="930" s="57" customFormat="1" ht="15.75" customHeight="1" x14ac:dyDescent="0.2"/>
    <row r="931" s="57" customFormat="1" ht="15.75" customHeight="1" x14ac:dyDescent="0.2"/>
    <row r="932" s="57" customFormat="1" ht="15.75" customHeight="1" x14ac:dyDescent="0.2"/>
    <row r="933" s="57" customFormat="1" ht="15.75" customHeight="1" x14ac:dyDescent="0.2"/>
    <row r="934" s="57" customFormat="1" ht="15.75" customHeight="1" x14ac:dyDescent="0.2"/>
    <row r="935" s="57" customFormat="1" ht="15.75" customHeight="1" x14ac:dyDescent="0.2"/>
    <row r="936" s="57" customFormat="1" ht="15.75" customHeight="1" x14ac:dyDescent="0.2"/>
    <row r="937" s="57" customFormat="1" ht="15.75" customHeight="1" x14ac:dyDescent="0.2"/>
    <row r="938" s="57" customFormat="1" ht="15.75" customHeight="1" x14ac:dyDescent="0.2"/>
    <row r="939" s="57" customFormat="1" ht="15.75" customHeight="1" x14ac:dyDescent="0.2"/>
    <row r="940" s="57" customFormat="1" ht="15.75" customHeight="1" x14ac:dyDescent="0.2"/>
    <row r="941" s="57" customFormat="1" ht="15.75" customHeight="1" x14ac:dyDescent="0.2"/>
    <row r="942" s="57" customFormat="1" ht="15.75" customHeight="1" x14ac:dyDescent="0.2"/>
    <row r="943" s="57" customFormat="1" ht="15.75" customHeight="1" x14ac:dyDescent="0.2"/>
    <row r="944" s="57" customFormat="1" ht="15.75" customHeight="1" x14ac:dyDescent="0.2"/>
    <row r="945" s="57" customFormat="1" ht="15.75" customHeight="1" x14ac:dyDescent="0.2"/>
    <row r="946" s="57" customFormat="1" ht="15.75" customHeight="1" x14ac:dyDescent="0.2"/>
    <row r="947" s="57" customFormat="1" ht="15.75" customHeight="1" x14ac:dyDescent="0.2"/>
    <row r="948" s="57" customFormat="1" ht="15.75" customHeight="1" x14ac:dyDescent="0.2"/>
    <row r="949" s="57" customFormat="1" ht="15.75" customHeight="1" x14ac:dyDescent="0.2"/>
    <row r="950" s="57" customFormat="1" ht="15.75" customHeight="1" x14ac:dyDescent="0.2"/>
    <row r="951" s="57" customFormat="1" ht="15.75" customHeight="1" x14ac:dyDescent="0.2"/>
    <row r="952" s="57" customFormat="1" ht="15.75" customHeight="1" x14ac:dyDescent="0.2"/>
    <row r="953" s="57" customFormat="1" ht="15.75" customHeight="1" x14ac:dyDescent="0.2"/>
    <row r="954" s="57" customFormat="1" ht="15.75" customHeight="1" x14ac:dyDescent="0.2"/>
    <row r="955" s="57" customFormat="1" ht="15.75" customHeight="1" x14ac:dyDescent="0.2"/>
    <row r="956" s="57" customFormat="1" ht="15.75" customHeight="1" x14ac:dyDescent="0.2"/>
    <row r="957" s="57" customFormat="1" ht="15.75" customHeight="1" x14ac:dyDescent="0.2"/>
    <row r="958" s="57" customFormat="1" ht="15.75" customHeight="1" x14ac:dyDescent="0.2"/>
    <row r="959" s="57" customFormat="1" ht="15.75" customHeight="1" x14ac:dyDescent="0.2"/>
    <row r="960" s="57" customFormat="1" ht="15.75" customHeight="1" x14ac:dyDescent="0.2"/>
    <row r="961" s="57" customFormat="1" ht="15.75" customHeight="1" x14ac:dyDescent="0.2"/>
    <row r="962" s="57" customFormat="1" ht="15.75" customHeight="1" x14ac:dyDescent="0.2"/>
    <row r="963" s="57" customFormat="1" ht="15.75" customHeight="1" x14ac:dyDescent="0.2"/>
    <row r="964" s="57" customFormat="1" ht="15.75" customHeight="1" x14ac:dyDescent="0.2"/>
    <row r="965" s="57" customFormat="1" ht="15.75" customHeight="1" x14ac:dyDescent="0.2"/>
    <row r="966" s="57" customFormat="1" ht="15.75" customHeight="1" x14ac:dyDescent="0.2"/>
    <row r="967" s="57" customFormat="1" ht="15.75" customHeight="1" x14ac:dyDescent="0.2"/>
    <row r="968" s="57" customFormat="1" ht="15.75" customHeight="1" x14ac:dyDescent="0.2"/>
    <row r="969" s="57" customFormat="1" ht="15.75" customHeight="1" x14ac:dyDescent="0.2"/>
    <row r="970" s="57" customFormat="1" ht="15.75" customHeight="1" x14ac:dyDescent="0.2"/>
    <row r="971" s="57" customFormat="1" ht="15.75" customHeight="1" x14ac:dyDescent="0.2"/>
    <row r="972" s="57" customFormat="1" ht="15.75" customHeight="1" x14ac:dyDescent="0.2"/>
    <row r="973" s="57" customFormat="1" ht="15.75" customHeight="1" x14ac:dyDescent="0.2"/>
    <row r="974" s="57" customFormat="1" ht="15.75" customHeight="1" x14ac:dyDescent="0.2"/>
    <row r="975" s="57" customFormat="1" ht="15.75" customHeight="1" x14ac:dyDescent="0.2"/>
    <row r="976" s="57" customFormat="1" ht="15.75" customHeight="1" x14ac:dyDescent="0.2"/>
    <row r="977" s="57" customFormat="1" ht="15.75" customHeight="1" x14ac:dyDescent="0.2"/>
    <row r="978" s="57" customFormat="1" ht="15.75" customHeight="1" x14ac:dyDescent="0.2"/>
    <row r="979" s="57" customFormat="1" ht="15.75" customHeight="1" x14ac:dyDescent="0.2"/>
    <row r="980" s="57" customFormat="1" ht="15.75" customHeight="1" x14ac:dyDescent="0.2"/>
    <row r="981" s="57" customFormat="1" ht="15.75" customHeight="1" x14ac:dyDescent="0.2"/>
    <row r="982" s="57" customFormat="1" ht="15.75" customHeight="1" x14ac:dyDescent="0.2"/>
    <row r="983" s="57" customFormat="1" ht="15.75" customHeight="1" x14ac:dyDescent="0.2"/>
    <row r="984" s="57" customFormat="1" ht="15.75" customHeight="1" x14ac:dyDescent="0.2"/>
    <row r="985" s="57" customFormat="1" ht="15.75" customHeight="1" x14ac:dyDescent="0.2"/>
    <row r="986" s="57" customFormat="1" ht="15.75" customHeight="1" x14ac:dyDescent="0.2"/>
    <row r="987" s="57" customFormat="1" ht="15.75" customHeight="1" x14ac:dyDescent="0.2"/>
    <row r="988" s="57" customFormat="1" ht="15.75" customHeight="1" x14ac:dyDescent="0.2"/>
    <row r="989" s="57" customFormat="1" ht="15.75" customHeight="1" x14ac:dyDescent="0.2"/>
    <row r="990" s="57" customFormat="1" ht="15.75" customHeight="1" x14ac:dyDescent="0.2"/>
    <row r="991" s="57" customFormat="1" ht="15.75" customHeight="1" x14ac:dyDescent="0.2"/>
    <row r="992" s="57" customFormat="1" ht="15.75" customHeight="1" x14ac:dyDescent="0.2"/>
    <row r="993" s="57" customFormat="1" ht="15.75" customHeight="1" x14ac:dyDescent="0.2"/>
    <row r="994" s="57" customFormat="1" ht="15.75" customHeight="1" x14ac:dyDescent="0.2"/>
    <row r="995" s="57" customFormat="1" ht="15.75" customHeight="1" x14ac:dyDescent="0.2"/>
    <row r="996" s="57" customFormat="1" ht="15.75" customHeight="1" x14ac:dyDescent="0.2"/>
    <row r="997" s="57" customFormat="1" ht="15.75" customHeight="1" x14ac:dyDescent="0.2"/>
    <row r="998" s="57" customFormat="1" ht="15.75" customHeight="1" x14ac:dyDescent="0.2"/>
    <row r="999" s="57" customFormat="1" ht="15.75" customHeight="1" x14ac:dyDescent="0.2"/>
  </sheetData>
  <sortState xmlns:xlrd2="http://schemas.microsoft.com/office/spreadsheetml/2017/richdata2" ref="B33:B34">
    <sortCondition descending="1" ref="B34"/>
  </sortState>
  <mergeCells count="3">
    <mergeCell ref="G36:H36"/>
    <mergeCell ref="G18:H18"/>
    <mergeCell ref="G29:H29"/>
  </mergeCells>
  <phoneticPr fontId="30" type="noConversion"/>
  <conditionalFormatting sqref="B2:H13 A15:A35">
    <cfRule type="cellIs" dxfId="34" priority="4" operator="equal">
      <formula>0</formula>
    </cfRule>
  </conditionalFormatting>
  <conditionalFormatting sqref="A14:E14 C15:E48 C49:C53">
    <cfRule type="cellIs" dxfId="33" priority="3" operator="equal">
      <formula>0</formula>
    </cfRule>
  </conditionalFormatting>
  <conditionalFormatting sqref="B15:B52">
    <cfRule type="cellIs" dxfId="32" priority="2" operator="equal">
      <formula>0</formula>
    </cfRule>
  </conditionalFormatting>
  <conditionalFormatting sqref="A36:A50">
    <cfRule type="cellIs" dxfId="31" priority="1" operator="equal">
      <formula>0</formula>
    </cfRule>
  </conditionalFormatting>
  <pageMargins left="0.3" right="0.1" top="0.5" bottom="0" header="0" footer="0"/>
  <pageSetup scale="98" orientation="portrait" verticalDpi="4294967294" r:id="rId1"/>
  <headerFooter>
    <oddHeader>&amp;C&amp;"Arial Black,Regular"&amp;20MONDAY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B95FE-BD35-4DCE-9BAE-C15035115AF9}">
  <sheetPr>
    <pageSetUpPr fitToPage="1"/>
  </sheetPr>
  <dimension ref="A1:E36"/>
  <sheetViews>
    <sheetView workbookViewId="0">
      <selection activeCell="D13" sqref="D13:D14"/>
    </sheetView>
  </sheetViews>
  <sheetFormatPr defaultRowHeight="15" x14ac:dyDescent="0.25"/>
  <cols>
    <col min="1" max="1" width="10.7109375" style="43" customWidth="1"/>
    <col min="2" max="3" width="32.7109375" customWidth="1"/>
    <col min="4" max="4" width="10.7109375" style="43" customWidth="1"/>
    <col min="5" max="5" width="32.7109375" customWidth="1"/>
  </cols>
  <sheetData>
    <row r="1" spans="1:5" ht="24.95" customHeight="1" thickBot="1" x14ac:dyDescent="0.3">
      <c r="A1" s="89" t="s">
        <v>69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5" t="s">
        <v>71</v>
      </c>
      <c r="E2" s="96"/>
    </row>
    <row r="3" spans="1:5" ht="24.95" customHeight="1" thickBot="1" x14ac:dyDescent="0.3">
      <c r="A3" s="42" t="s">
        <v>80</v>
      </c>
      <c r="B3" s="38"/>
      <c r="C3" s="38"/>
      <c r="D3" s="87" t="s">
        <v>80</v>
      </c>
      <c r="E3" s="39"/>
    </row>
    <row r="4" spans="1:5" ht="24.95" customHeight="1" thickBot="1" x14ac:dyDescent="0.3">
      <c r="A4" s="42" t="s">
        <v>97</v>
      </c>
      <c r="B4" s="39"/>
      <c r="C4" s="38"/>
      <c r="D4" s="88"/>
      <c r="E4" s="38"/>
    </row>
    <row r="5" spans="1:5" ht="24.95" customHeight="1" thickBot="1" x14ac:dyDescent="0.3">
      <c r="A5" s="42" t="s">
        <v>81</v>
      </c>
      <c r="B5" s="39"/>
      <c r="C5" s="38"/>
      <c r="D5" s="87" t="s">
        <v>81</v>
      </c>
      <c r="E5" s="39"/>
    </row>
    <row r="6" spans="1:5" ht="24.95" customHeight="1" thickBot="1" x14ac:dyDescent="0.3">
      <c r="A6" s="42" t="s">
        <v>98</v>
      </c>
      <c r="B6" s="40"/>
      <c r="C6" s="38"/>
      <c r="D6" s="88"/>
      <c r="E6" s="38"/>
    </row>
    <row r="7" spans="1:5" ht="24.95" customHeight="1" thickBot="1" x14ac:dyDescent="0.3">
      <c r="A7" s="42" t="s">
        <v>82</v>
      </c>
      <c r="B7" s="39"/>
      <c r="C7" s="38"/>
      <c r="D7" s="87" t="s">
        <v>82</v>
      </c>
      <c r="E7" s="39"/>
    </row>
    <row r="8" spans="1:5" ht="24.95" customHeight="1" thickBot="1" x14ac:dyDescent="0.3">
      <c r="A8" s="42" t="s">
        <v>99</v>
      </c>
      <c r="B8" s="40"/>
      <c r="C8" s="38"/>
      <c r="D8" s="88"/>
      <c r="E8" s="38"/>
    </row>
    <row r="9" spans="1:5" ht="24.95" customHeight="1" thickBot="1" x14ac:dyDescent="0.3">
      <c r="A9" s="42" t="s">
        <v>83</v>
      </c>
      <c r="B9" s="39"/>
      <c r="C9" s="38"/>
      <c r="D9" s="87" t="s">
        <v>83</v>
      </c>
      <c r="E9" s="39"/>
    </row>
    <row r="10" spans="1:5" ht="24.95" customHeight="1" thickBot="1" x14ac:dyDescent="0.3">
      <c r="A10" s="42" t="s">
        <v>100</v>
      </c>
      <c r="B10" s="40"/>
      <c r="C10" s="38"/>
      <c r="D10" s="88"/>
      <c r="E10" s="38"/>
    </row>
    <row r="11" spans="1:5" ht="24.95" customHeight="1" thickBot="1" x14ac:dyDescent="0.3">
      <c r="A11" s="42" t="s">
        <v>84</v>
      </c>
      <c r="B11" s="39"/>
      <c r="C11" s="38"/>
      <c r="D11" s="87" t="s">
        <v>84</v>
      </c>
      <c r="E11" s="40"/>
    </row>
    <row r="12" spans="1:5" ht="24.95" customHeight="1" thickBot="1" x14ac:dyDescent="0.3">
      <c r="A12" s="42" t="s">
        <v>101</v>
      </c>
      <c r="B12" s="39"/>
      <c r="C12" s="38"/>
      <c r="D12" s="88"/>
      <c r="E12" s="38"/>
    </row>
    <row r="13" spans="1:5" ht="24.95" customHeight="1" thickBot="1" x14ac:dyDescent="0.3">
      <c r="A13" s="42" t="s">
        <v>85</v>
      </c>
      <c r="B13" s="39"/>
      <c r="C13" s="38"/>
      <c r="D13" s="87" t="s">
        <v>85</v>
      </c>
      <c r="E13" s="39"/>
    </row>
    <row r="14" spans="1:5" ht="24.95" customHeight="1" thickBot="1" x14ac:dyDescent="0.3">
      <c r="A14" s="42" t="s">
        <v>102</v>
      </c>
      <c r="B14" s="39"/>
      <c r="C14" s="38"/>
      <c r="D14" s="88"/>
      <c r="E14" s="38"/>
    </row>
    <row r="15" spans="1:5" ht="24.95" customHeight="1" thickBot="1" x14ac:dyDescent="0.3">
      <c r="A15" s="42" t="s">
        <v>86</v>
      </c>
      <c r="B15" s="39"/>
      <c r="C15" s="70"/>
      <c r="D15" s="87" t="s">
        <v>86</v>
      </c>
      <c r="E15" s="38"/>
    </row>
    <row r="16" spans="1:5" ht="24.95" customHeight="1" thickBot="1" x14ac:dyDescent="0.3">
      <c r="A16" s="42" t="s">
        <v>103</v>
      </c>
      <c r="B16" s="39"/>
      <c r="C16" s="70"/>
      <c r="D16" s="88"/>
      <c r="E16" s="38"/>
    </row>
    <row r="17" spans="1:5" ht="24.95" customHeight="1" thickBot="1" x14ac:dyDescent="0.3">
      <c r="A17" s="42" t="s">
        <v>87</v>
      </c>
      <c r="B17" s="39"/>
      <c r="C17" s="38"/>
      <c r="D17" s="87" t="s">
        <v>87</v>
      </c>
      <c r="E17" s="39"/>
    </row>
    <row r="18" spans="1:5" ht="24.95" customHeight="1" thickBot="1" x14ac:dyDescent="0.3">
      <c r="A18" s="42" t="s">
        <v>104</v>
      </c>
      <c r="B18" s="39"/>
      <c r="C18" s="38"/>
      <c r="D18" s="88"/>
      <c r="E18" s="38"/>
    </row>
    <row r="19" spans="1:5" ht="24.95" customHeight="1" thickBot="1" x14ac:dyDescent="0.3">
      <c r="A19" s="42" t="s">
        <v>88</v>
      </c>
      <c r="B19" s="38"/>
      <c r="C19" s="38"/>
      <c r="D19" s="87" t="s">
        <v>88</v>
      </c>
      <c r="E19" s="39"/>
    </row>
    <row r="20" spans="1:5" ht="24.95" customHeight="1" thickBot="1" x14ac:dyDescent="0.3">
      <c r="A20" s="42" t="s">
        <v>105</v>
      </c>
      <c r="B20" s="70"/>
      <c r="C20" s="38"/>
      <c r="D20" s="88"/>
      <c r="E20" s="38"/>
    </row>
    <row r="21" spans="1:5" ht="24.95" customHeight="1" thickBot="1" x14ac:dyDescent="0.3">
      <c r="A21" s="42" t="s">
        <v>89</v>
      </c>
      <c r="B21" s="39"/>
      <c r="C21" s="38"/>
      <c r="D21" s="87" t="s">
        <v>89</v>
      </c>
      <c r="E21" s="41"/>
    </row>
    <row r="22" spans="1:5" ht="24.95" customHeight="1" thickBot="1" x14ac:dyDescent="0.3">
      <c r="A22" s="42" t="s">
        <v>106</v>
      </c>
      <c r="B22" s="39"/>
      <c r="C22" s="38"/>
      <c r="D22" s="88"/>
      <c r="E22" s="38"/>
    </row>
    <row r="23" spans="1:5" ht="24.95" customHeight="1" thickBot="1" x14ac:dyDescent="0.3">
      <c r="A23" s="42" t="s">
        <v>90</v>
      </c>
      <c r="B23" s="39"/>
      <c r="C23" s="39"/>
      <c r="D23" s="87" t="s">
        <v>90</v>
      </c>
      <c r="E23" s="39"/>
    </row>
    <row r="24" spans="1:5" ht="24.95" customHeight="1" thickBot="1" x14ac:dyDescent="0.3">
      <c r="A24" s="42" t="s">
        <v>107</v>
      </c>
      <c r="B24" s="40"/>
      <c r="C24" s="38"/>
      <c r="D24" s="88"/>
      <c r="E24" s="39"/>
    </row>
    <row r="25" spans="1:5" ht="24.95" customHeight="1" thickBot="1" x14ac:dyDescent="0.3">
      <c r="A25" s="42" t="s">
        <v>91</v>
      </c>
      <c r="B25" s="39"/>
      <c r="C25" s="39"/>
      <c r="D25" s="87" t="s">
        <v>91</v>
      </c>
      <c r="E25" s="39"/>
    </row>
    <row r="26" spans="1:5" ht="24.95" customHeight="1" thickBot="1" x14ac:dyDescent="0.3">
      <c r="A26" s="42" t="s">
        <v>108</v>
      </c>
      <c r="B26" s="40"/>
      <c r="C26" s="38"/>
      <c r="D26" s="88"/>
      <c r="E26" s="39"/>
    </row>
    <row r="27" spans="1:5" ht="24.95" customHeight="1" thickBot="1" x14ac:dyDescent="0.3">
      <c r="A27" s="42" t="s">
        <v>92</v>
      </c>
      <c r="B27" s="39"/>
      <c r="C27" s="39"/>
      <c r="D27" s="87" t="s">
        <v>92</v>
      </c>
      <c r="E27" s="39"/>
    </row>
    <row r="28" spans="1:5" ht="24.95" customHeight="1" thickBot="1" x14ac:dyDescent="0.3">
      <c r="A28" s="42" t="s">
        <v>109</v>
      </c>
      <c r="B28" s="39"/>
      <c r="C28" s="38"/>
      <c r="D28" s="88"/>
      <c r="E28" s="39"/>
    </row>
    <row r="29" spans="1:5" ht="24.95" customHeight="1" thickBot="1" x14ac:dyDescent="0.3">
      <c r="A29" s="42" t="s">
        <v>93</v>
      </c>
      <c r="B29" s="39"/>
      <c r="C29" s="38"/>
      <c r="D29" s="87" t="s">
        <v>93</v>
      </c>
      <c r="E29" s="39"/>
    </row>
    <row r="30" spans="1:5" ht="24.95" customHeight="1" thickBot="1" x14ac:dyDescent="0.3">
      <c r="A30" s="42" t="s">
        <v>110</v>
      </c>
      <c r="B30" s="40"/>
      <c r="C30" s="38"/>
      <c r="D30" s="88"/>
      <c r="E30" s="39"/>
    </row>
    <row r="31" spans="1:5" ht="24.95" customHeight="1" thickBot="1" x14ac:dyDescent="0.3">
      <c r="A31" s="42" t="s">
        <v>94</v>
      </c>
      <c r="B31" s="39"/>
      <c r="C31" s="38"/>
      <c r="D31" s="87" t="s">
        <v>94</v>
      </c>
      <c r="E31" s="39"/>
    </row>
    <row r="32" spans="1:5" ht="24.95" customHeight="1" thickBot="1" x14ac:dyDescent="0.3">
      <c r="A32" s="42" t="s">
        <v>111</v>
      </c>
      <c r="B32" s="40"/>
      <c r="C32" s="39"/>
      <c r="D32" s="88"/>
      <c r="E32" s="39"/>
    </row>
    <row r="33" spans="1:5" ht="24.95" customHeight="1" thickBot="1" x14ac:dyDescent="0.3">
      <c r="A33" s="42" t="s">
        <v>95</v>
      </c>
      <c r="B33" s="39"/>
      <c r="C33" s="38"/>
      <c r="D33" s="87" t="s">
        <v>95</v>
      </c>
      <c r="E33" s="40"/>
    </row>
    <row r="34" spans="1:5" ht="24.95" customHeight="1" thickBot="1" x14ac:dyDescent="0.3">
      <c r="A34" s="42" t="s">
        <v>112</v>
      </c>
      <c r="B34" s="39"/>
      <c r="C34" s="38"/>
      <c r="D34" s="88"/>
      <c r="E34" s="38"/>
    </row>
    <row r="35" spans="1:5" ht="24.95" customHeight="1" thickBot="1" x14ac:dyDescent="0.3">
      <c r="A35" s="42" t="s">
        <v>96</v>
      </c>
      <c r="B35" s="39"/>
      <c r="C35" s="38"/>
      <c r="D35" s="87" t="s">
        <v>96</v>
      </c>
      <c r="E35" s="39"/>
    </row>
    <row r="36" spans="1:5" ht="24.95" customHeight="1" thickBot="1" x14ac:dyDescent="0.3">
      <c r="A36" s="42" t="s">
        <v>113</v>
      </c>
      <c r="B36" s="39"/>
      <c r="C36" s="38"/>
      <c r="D36" s="88"/>
      <c r="E36" s="38"/>
    </row>
  </sheetData>
  <mergeCells count="20">
    <mergeCell ref="D19:D20"/>
    <mergeCell ref="A1:E1"/>
    <mergeCell ref="A2:C2"/>
    <mergeCell ref="D2:E2"/>
    <mergeCell ref="D3:D4"/>
    <mergeCell ref="D5:D6"/>
    <mergeCell ref="D7:D8"/>
    <mergeCell ref="D9:D10"/>
    <mergeCell ref="D11:D12"/>
    <mergeCell ref="D13:D14"/>
    <mergeCell ref="D15:D16"/>
    <mergeCell ref="D17:D18"/>
    <mergeCell ref="D33:D34"/>
    <mergeCell ref="D35:D36"/>
    <mergeCell ref="D21:D22"/>
    <mergeCell ref="D23:D24"/>
    <mergeCell ref="D25:D26"/>
    <mergeCell ref="D27:D28"/>
    <mergeCell ref="D29:D30"/>
    <mergeCell ref="D31:D32"/>
  </mergeCells>
  <printOptions gridLines="1"/>
  <pageMargins left="0.7" right="0.7" top="0.75" bottom="0.75" header="0.3" footer="0.3"/>
  <pageSetup scale="7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1A742-DC6F-41B0-902B-FCDB382FBC40}">
  <sheetPr>
    <pageSetUpPr fitToPage="1"/>
  </sheetPr>
  <dimension ref="A1:E36"/>
  <sheetViews>
    <sheetView workbookViewId="0">
      <selection sqref="A1:XFD1048576"/>
    </sheetView>
  </sheetViews>
  <sheetFormatPr defaultRowHeight="15" x14ac:dyDescent="0.25"/>
  <cols>
    <col min="1" max="1" width="10.7109375" style="45" customWidth="1"/>
    <col min="2" max="3" width="32.7109375" customWidth="1"/>
    <col min="4" max="4" width="10.7109375" style="45" customWidth="1"/>
    <col min="5" max="5" width="32.7109375" customWidth="1"/>
  </cols>
  <sheetData>
    <row r="1" spans="1:5" ht="24.95" customHeight="1" thickBot="1" x14ac:dyDescent="0.3">
      <c r="A1" s="89" t="s">
        <v>72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2" t="s">
        <v>71</v>
      </c>
      <c r="E2" s="94"/>
    </row>
    <row r="3" spans="1:5" ht="24.95" customHeight="1" thickBot="1" x14ac:dyDescent="0.3">
      <c r="A3" s="44">
        <v>1130</v>
      </c>
      <c r="B3" s="38"/>
      <c r="C3" s="38"/>
      <c r="D3" s="46">
        <v>1130</v>
      </c>
      <c r="E3" s="39"/>
    </row>
    <row r="4" spans="1:5" ht="24.95" customHeight="1" thickBot="1" x14ac:dyDescent="0.3">
      <c r="A4" s="44">
        <v>1145</v>
      </c>
      <c r="B4" s="39"/>
      <c r="C4" s="39"/>
      <c r="D4" s="46"/>
      <c r="E4" s="39"/>
    </row>
    <row r="5" spans="1:5" ht="24.95" customHeight="1" thickBot="1" x14ac:dyDescent="0.3">
      <c r="A5" s="44">
        <v>1200</v>
      </c>
      <c r="B5" s="39"/>
      <c r="C5" s="38"/>
      <c r="D5" s="46">
        <v>1200</v>
      </c>
      <c r="E5" s="39"/>
    </row>
    <row r="6" spans="1:5" ht="24.95" customHeight="1" thickBot="1" x14ac:dyDescent="0.3">
      <c r="A6" s="44">
        <v>1215</v>
      </c>
      <c r="B6" s="39"/>
      <c r="C6" s="39"/>
      <c r="D6" s="46"/>
      <c r="E6" s="39"/>
    </row>
    <row r="7" spans="1:5" ht="24.95" customHeight="1" thickBot="1" x14ac:dyDescent="0.3">
      <c r="A7" s="44">
        <v>1230</v>
      </c>
      <c r="B7" s="39"/>
      <c r="C7" s="38"/>
      <c r="D7" s="46">
        <v>1230</v>
      </c>
      <c r="E7" s="39"/>
    </row>
    <row r="8" spans="1:5" ht="24.95" customHeight="1" thickBot="1" x14ac:dyDescent="0.3">
      <c r="A8" s="44">
        <v>1245</v>
      </c>
      <c r="B8" s="39"/>
      <c r="C8" s="39"/>
      <c r="D8" s="46"/>
      <c r="E8" s="39"/>
    </row>
    <row r="9" spans="1:5" ht="24.95" customHeight="1" thickBot="1" x14ac:dyDescent="0.3">
      <c r="A9" s="44">
        <v>1300</v>
      </c>
      <c r="B9" s="39"/>
      <c r="C9" s="38"/>
      <c r="D9" s="46">
        <v>1300</v>
      </c>
      <c r="E9" s="39"/>
    </row>
    <row r="10" spans="1:5" ht="24.95" customHeight="1" thickBot="1" x14ac:dyDescent="0.3">
      <c r="A10" s="44">
        <v>1315</v>
      </c>
      <c r="B10" s="39"/>
      <c r="C10" s="38"/>
      <c r="D10" s="46"/>
      <c r="E10" s="39"/>
    </row>
    <row r="11" spans="1:5" ht="24.95" customHeight="1" thickBot="1" x14ac:dyDescent="0.3">
      <c r="A11" s="44">
        <v>1330</v>
      </c>
      <c r="B11" s="39"/>
      <c r="C11" s="38"/>
      <c r="D11" s="46">
        <v>1330</v>
      </c>
      <c r="E11" s="39"/>
    </row>
    <row r="12" spans="1:5" ht="24.95" customHeight="1" thickBot="1" x14ac:dyDescent="0.3">
      <c r="A12" s="44">
        <v>1345</v>
      </c>
      <c r="B12" s="39"/>
      <c r="C12" s="38"/>
      <c r="D12" s="46"/>
      <c r="E12" s="40"/>
    </row>
    <row r="13" spans="1:5" ht="24.95" customHeight="1" thickBot="1" x14ac:dyDescent="0.3">
      <c r="A13" s="44">
        <v>1400</v>
      </c>
      <c r="B13" s="39"/>
      <c r="C13" s="39"/>
      <c r="D13" s="46">
        <v>1400</v>
      </c>
      <c r="E13" s="39"/>
    </row>
    <row r="14" spans="1:5" ht="24.95" customHeight="1" thickBot="1" x14ac:dyDescent="0.3">
      <c r="A14" s="44">
        <v>1415</v>
      </c>
      <c r="B14" s="39"/>
      <c r="C14" s="40"/>
      <c r="D14" s="47"/>
      <c r="E14" s="38"/>
    </row>
    <row r="15" spans="1:5" ht="24.95" customHeight="1" thickBot="1" x14ac:dyDescent="0.3">
      <c r="A15" s="44">
        <v>1430</v>
      </c>
      <c r="B15" s="39"/>
      <c r="C15" s="38"/>
      <c r="D15" s="46">
        <v>1430</v>
      </c>
      <c r="E15" s="39"/>
    </row>
    <row r="16" spans="1:5" ht="24.95" customHeight="1" thickBot="1" x14ac:dyDescent="0.3">
      <c r="A16" s="44">
        <v>1445</v>
      </c>
      <c r="B16" s="39"/>
      <c r="C16" s="40"/>
      <c r="D16" s="47"/>
      <c r="E16" s="38"/>
    </row>
    <row r="17" spans="1:5" ht="24.95" customHeight="1" thickBot="1" x14ac:dyDescent="0.3">
      <c r="A17" s="44">
        <v>1500</v>
      </c>
      <c r="B17" s="39"/>
      <c r="C17" s="38"/>
      <c r="D17" s="46">
        <v>1500</v>
      </c>
      <c r="E17" s="39"/>
    </row>
    <row r="18" spans="1:5" ht="24.95" customHeight="1" thickBot="1" x14ac:dyDescent="0.3">
      <c r="A18" s="44">
        <v>1515</v>
      </c>
      <c r="B18" s="39"/>
      <c r="C18" s="40"/>
      <c r="D18" s="47"/>
      <c r="E18" s="38"/>
    </row>
    <row r="19" spans="1:5" ht="24.95" customHeight="1" thickBot="1" x14ac:dyDescent="0.3">
      <c r="A19" s="44">
        <v>1530</v>
      </c>
      <c r="B19" s="39"/>
      <c r="C19" s="38"/>
      <c r="D19" s="46">
        <v>1530</v>
      </c>
      <c r="E19" s="39"/>
    </row>
    <row r="20" spans="1:5" ht="24.95" customHeight="1" thickBot="1" x14ac:dyDescent="0.3">
      <c r="A20" s="44">
        <v>1545</v>
      </c>
      <c r="B20" s="39"/>
      <c r="C20" s="40"/>
      <c r="D20" s="47"/>
      <c r="E20" s="38"/>
    </row>
    <row r="21" spans="1:5" ht="24.95" customHeight="1" thickBot="1" x14ac:dyDescent="0.3">
      <c r="A21" s="44">
        <v>1600</v>
      </c>
      <c r="B21" s="39"/>
      <c r="C21" s="38"/>
      <c r="D21" s="46">
        <v>1600</v>
      </c>
      <c r="E21" s="39"/>
    </row>
    <row r="22" spans="1:5" ht="24.95" customHeight="1" thickBot="1" x14ac:dyDescent="0.3">
      <c r="A22" s="44">
        <v>1615</v>
      </c>
      <c r="B22" s="39"/>
      <c r="C22" s="40"/>
      <c r="D22" s="47"/>
      <c r="E22" s="38"/>
    </row>
    <row r="23" spans="1:5" ht="24.95" customHeight="1" thickBot="1" x14ac:dyDescent="0.3">
      <c r="A23" s="44">
        <v>1630</v>
      </c>
      <c r="B23" s="39"/>
      <c r="C23" s="38"/>
      <c r="D23" s="46">
        <v>1630</v>
      </c>
      <c r="E23" s="39"/>
    </row>
    <row r="24" spans="1:5" ht="24.95" customHeight="1" thickBot="1" x14ac:dyDescent="0.3">
      <c r="A24" s="44">
        <v>1645</v>
      </c>
      <c r="B24" s="39"/>
      <c r="C24" s="40"/>
      <c r="D24" s="47"/>
      <c r="E24" s="38"/>
    </row>
    <row r="25" spans="1:5" ht="24.95" customHeight="1" thickBot="1" x14ac:dyDescent="0.3">
      <c r="A25" s="44">
        <v>1700</v>
      </c>
      <c r="B25" s="39"/>
      <c r="C25" s="38"/>
      <c r="D25" s="46">
        <v>1700</v>
      </c>
      <c r="E25" s="39"/>
    </row>
    <row r="26" spans="1:5" ht="24.95" customHeight="1" thickBot="1" x14ac:dyDescent="0.3">
      <c r="A26" s="44">
        <v>1715</v>
      </c>
      <c r="B26" s="39"/>
      <c r="C26" s="38"/>
      <c r="D26" s="47"/>
      <c r="E26" s="38"/>
    </row>
    <row r="27" spans="1:5" ht="24.95" customHeight="1" thickBot="1" x14ac:dyDescent="0.3">
      <c r="A27" s="44">
        <v>1730</v>
      </c>
      <c r="B27" s="39"/>
      <c r="C27" s="38"/>
      <c r="D27" s="46">
        <v>1730</v>
      </c>
      <c r="E27" s="39"/>
    </row>
    <row r="28" spans="1:5" ht="24.95" customHeight="1" thickBot="1" x14ac:dyDescent="0.3">
      <c r="A28" s="44">
        <v>1745</v>
      </c>
      <c r="B28" s="39"/>
      <c r="C28" s="40"/>
      <c r="D28" s="46"/>
      <c r="E28" s="39"/>
    </row>
    <row r="29" spans="1:5" ht="24.95" customHeight="1" thickBot="1" x14ac:dyDescent="0.3">
      <c r="A29" s="44">
        <v>1800</v>
      </c>
      <c r="B29" s="39"/>
      <c r="C29" s="38"/>
      <c r="D29" s="46">
        <v>1800</v>
      </c>
      <c r="E29" s="39"/>
    </row>
    <row r="30" spans="1:5" ht="24.95" customHeight="1" thickBot="1" x14ac:dyDescent="0.3">
      <c r="A30" s="44">
        <v>1815</v>
      </c>
      <c r="B30" s="39"/>
      <c r="C30" s="39"/>
      <c r="D30" s="46"/>
      <c r="E30" s="39"/>
    </row>
    <row r="31" spans="1:5" ht="24.95" customHeight="1" thickBot="1" x14ac:dyDescent="0.3">
      <c r="A31" s="44">
        <v>1830</v>
      </c>
      <c r="B31" s="39"/>
      <c r="C31" s="39"/>
      <c r="D31" s="46">
        <v>1830</v>
      </c>
      <c r="E31" s="39"/>
    </row>
    <row r="32" spans="1:5" ht="24.95" customHeight="1" thickBot="1" x14ac:dyDescent="0.3">
      <c r="A32" s="44">
        <v>1845</v>
      </c>
      <c r="B32" s="39"/>
      <c r="C32" s="40"/>
      <c r="D32" s="46"/>
      <c r="E32" s="39"/>
    </row>
    <row r="33" spans="1:5" ht="24.95" customHeight="1" thickBot="1" x14ac:dyDescent="0.3">
      <c r="A33" s="44">
        <v>1900</v>
      </c>
      <c r="B33" s="39"/>
      <c r="C33" s="38"/>
      <c r="D33" s="46">
        <v>1900</v>
      </c>
      <c r="E33" s="39"/>
    </row>
    <row r="34" spans="1:5" ht="24.95" customHeight="1" thickBot="1" x14ac:dyDescent="0.3">
      <c r="A34" s="44">
        <v>1915</v>
      </c>
      <c r="B34" s="39"/>
      <c r="C34" s="39"/>
      <c r="D34" s="46"/>
      <c r="E34" s="39"/>
    </row>
    <row r="35" spans="1:5" ht="24.95" customHeight="1" thickBot="1" x14ac:dyDescent="0.3">
      <c r="A35" s="44">
        <v>1930</v>
      </c>
      <c r="B35" s="39"/>
      <c r="C35" s="38"/>
      <c r="D35" s="46">
        <v>1930</v>
      </c>
      <c r="E35" s="39"/>
    </row>
    <row r="36" spans="1:5" ht="24.95" customHeight="1" thickBot="1" x14ac:dyDescent="0.3">
      <c r="A36" s="44">
        <v>1945</v>
      </c>
      <c r="B36" s="39"/>
      <c r="C36" s="40"/>
      <c r="D36" s="46"/>
      <c r="E36" s="39"/>
    </row>
  </sheetData>
  <mergeCells count="3">
    <mergeCell ref="A1:E1"/>
    <mergeCell ref="A2:C2"/>
    <mergeCell ref="D2:E2"/>
  </mergeCells>
  <pageMargins left="0.7" right="0.7" top="0.75" bottom="0.75" header="0.3" footer="0.3"/>
  <pageSetup scale="7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BD791-5ECE-4F7B-8B30-3FC58B455E8A}">
  <sheetPr>
    <pageSetUpPr fitToPage="1"/>
  </sheetPr>
  <dimension ref="A1:E36"/>
  <sheetViews>
    <sheetView zoomScale="90" zoomScaleNormal="90" workbookViewId="0">
      <selection sqref="A1:XFD1048576"/>
    </sheetView>
  </sheetViews>
  <sheetFormatPr defaultRowHeight="15" x14ac:dyDescent="0.25"/>
  <cols>
    <col min="1" max="1" width="10.7109375" style="43" customWidth="1"/>
    <col min="2" max="3" width="32.7109375" customWidth="1"/>
    <col min="4" max="4" width="10.7109375" style="43" customWidth="1"/>
    <col min="5" max="5" width="32.7109375" customWidth="1"/>
  </cols>
  <sheetData>
    <row r="1" spans="1:5" ht="24.95" customHeight="1" thickBot="1" x14ac:dyDescent="0.3">
      <c r="A1" s="89" t="s">
        <v>73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2" t="s">
        <v>71</v>
      </c>
      <c r="E2" s="94"/>
    </row>
    <row r="3" spans="1:5" ht="24.95" customHeight="1" thickBot="1" x14ac:dyDescent="0.3">
      <c r="A3" s="42">
        <v>2000</v>
      </c>
      <c r="B3" s="39"/>
      <c r="C3" s="38"/>
      <c r="D3" s="48">
        <v>2000</v>
      </c>
      <c r="E3" s="39"/>
    </row>
    <row r="4" spans="1:5" ht="24.95" customHeight="1" thickBot="1" x14ac:dyDescent="0.3">
      <c r="A4" s="42">
        <v>2015</v>
      </c>
      <c r="B4" s="39"/>
      <c r="C4" s="40"/>
      <c r="D4" s="49"/>
      <c r="E4" s="38"/>
    </row>
    <row r="5" spans="1:5" ht="24.95" customHeight="1" thickBot="1" x14ac:dyDescent="0.3">
      <c r="A5" s="42">
        <v>2030</v>
      </c>
      <c r="B5" s="39"/>
      <c r="C5" s="38"/>
      <c r="D5" s="48">
        <v>2030</v>
      </c>
      <c r="E5" s="39"/>
    </row>
    <row r="6" spans="1:5" ht="24.95" customHeight="1" thickBot="1" x14ac:dyDescent="0.3">
      <c r="A6" s="42">
        <v>2045</v>
      </c>
      <c r="B6" s="40"/>
      <c r="C6" s="40"/>
      <c r="D6" s="49"/>
      <c r="E6" s="38"/>
    </row>
    <row r="7" spans="1:5" ht="24.95" customHeight="1" thickBot="1" x14ac:dyDescent="0.3">
      <c r="A7" s="42">
        <v>2100</v>
      </c>
      <c r="B7" s="38"/>
      <c r="C7" s="38"/>
      <c r="D7" s="48">
        <v>2100</v>
      </c>
      <c r="E7" s="39"/>
    </row>
    <row r="8" spans="1:5" ht="24.95" customHeight="1" thickBot="1" x14ac:dyDescent="0.3">
      <c r="A8" s="42">
        <v>2115</v>
      </c>
      <c r="B8" s="39"/>
      <c r="C8" s="38"/>
      <c r="D8" s="49"/>
      <c r="E8" s="38"/>
    </row>
    <row r="9" spans="1:5" ht="24.95" customHeight="1" thickBot="1" x14ac:dyDescent="0.3">
      <c r="A9" s="42">
        <v>2130</v>
      </c>
      <c r="B9" s="39"/>
      <c r="C9" s="39"/>
      <c r="D9" s="48">
        <v>2130</v>
      </c>
      <c r="E9" s="40"/>
    </row>
    <row r="10" spans="1:5" ht="24.95" customHeight="1" thickBot="1" x14ac:dyDescent="0.3">
      <c r="A10" s="42">
        <v>2145</v>
      </c>
      <c r="B10" s="39"/>
      <c r="C10" s="38"/>
      <c r="D10" s="48"/>
      <c r="E10" s="40"/>
    </row>
    <row r="11" spans="1:5" ht="24.95" customHeight="1" thickBot="1" x14ac:dyDescent="0.3">
      <c r="A11" s="42">
        <v>2200</v>
      </c>
      <c r="B11" s="39"/>
      <c r="C11" s="39"/>
      <c r="D11" s="48">
        <v>2200</v>
      </c>
      <c r="E11" s="40"/>
    </row>
    <row r="12" spans="1:5" ht="24.95" customHeight="1" thickBot="1" x14ac:dyDescent="0.3">
      <c r="A12" s="42">
        <v>2215</v>
      </c>
      <c r="B12" s="39"/>
      <c r="C12" s="38"/>
      <c r="D12" s="48"/>
      <c r="E12" s="40"/>
    </row>
    <row r="13" spans="1:5" ht="24.95" customHeight="1" thickBot="1" x14ac:dyDescent="0.3">
      <c r="A13" s="42">
        <v>2230</v>
      </c>
      <c r="B13" s="39"/>
      <c r="C13" s="39"/>
      <c r="D13" s="48">
        <v>2230</v>
      </c>
      <c r="E13" s="40"/>
    </row>
    <row r="14" spans="1:5" ht="24.95" customHeight="1" thickBot="1" x14ac:dyDescent="0.3">
      <c r="A14" s="42">
        <v>2245</v>
      </c>
      <c r="B14" s="39"/>
      <c r="C14" s="38"/>
      <c r="D14" s="48"/>
      <c r="E14" s="40"/>
    </row>
    <row r="15" spans="1:5" ht="24.95" customHeight="1" thickBot="1" x14ac:dyDescent="0.3">
      <c r="A15" s="42">
        <v>2300</v>
      </c>
      <c r="B15" s="39"/>
      <c r="C15" s="39"/>
      <c r="D15" s="48">
        <v>2300</v>
      </c>
      <c r="E15" s="40"/>
    </row>
    <row r="16" spans="1:5" ht="24.95" customHeight="1" thickBot="1" x14ac:dyDescent="0.3">
      <c r="A16" s="42">
        <v>2315</v>
      </c>
      <c r="B16" s="39"/>
      <c r="C16" s="38"/>
      <c r="D16" s="48"/>
      <c r="E16" s="40"/>
    </row>
    <row r="17" spans="1:5" ht="24.95" customHeight="1" thickBot="1" x14ac:dyDescent="0.3">
      <c r="A17" s="42">
        <v>2330</v>
      </c>
      <c r="B17" s="39"/>
      <c r="C17" s="39"/>
      <c r="D17" s="48">
        <v>2330</v>
      </c>
      <c r="E17" s="40"/>
    </row>
    <row r="18" spans="1:5" ht="24.95" customHeight="1" thickBot="1" x14ac:dyDescent="0.3">
      <c r="A18" s="42">
        <v>2345</v>
      </c>
      <c r="B18" s="39"/>
      <c r="C18" s="38"/>
      <c r="D18" s="48"/>
      <c r="E18" s="40"/>
    </row>
    <row r="19" spans="1:5" ht="24.95" customHeight="1" thickBot="1" x14ac:dyDescent="0.3">
      <c r="A19" s="42" t="s">
        <v>115</v>
      </c>
      <c r="B19" s="39"/>
      <c r="C19" s="39"/>
      <c r="D19" s="48" t="s">
        <v>115</v>
      </c>
      <c r="E19" s="40"/>
    </row>
    <row r="20" spans="1:5" ht="24.95" customHeight="1" thickBot="1" x14ac:dyDescent="0.3">
      <c r="A20" s="42" t="s">
        <v>121</v>
      </c>
      <c r="B20" s="39"/>
      <c r="C20" s="39"/>
      <c r="D20" s="49"/>
      <c r="E20" s="38"/>
    </row>
    <row r="21" spans="1:5" ht="24.95" customHeight="1" thickBot="1" x14ac:dyDescent="0.3">
      <c r="A21" s="42" t="s">
        <v>116</v>
      </c>
      <c r="B21" s="39"/>
      <c r="C21" s="38"/>
      <c r="D21" s="48" t="s">
        <v>116</v>
      </c>
      <c r="E21" s="40"/>
    </row>
    <row r="22" spans="1:5" ht="24.95" customHeight="1" thickBot="1" x14ac:dyDescent="0.3">
      <c r="A22" s="42" t="s">
        <v>122</v>
      </c>
      <c r="B22" s="39"/>
      <c r="C22" s="40"/>
      <c r="D22" s="49"/>
      <c r="E22" s="39"/>
    </row>
    <row r="23" spans="1:5" ht="24.95" customHeight="1" thickBot="1" x14ac:dyDescent="0.3">
      <c r="A23" s="42" t="s">
        <v>117</v>
      </c>
      <c r="B23" s="39"/>
      <c r="C23" s="38"/>
      <c r="D23" s="48" t="s">
        <v>117</v>
      </c>
      <c r="E23" s="40"/>
    </row>
    <row r="24" spans="1:5" ht="24.95" customHeight="1" thickBot="1" x14ac:dyDescent="0.3">
      <c r="A24" s="42" t="s">
        <v>123</v>
      </c>
      <c r="B24" s="39"/>
      <c r="C24" s="40"/>
      <c r="D24" s="71"/>
      <c r="E24" s="70"/>
    </row>
    <row r="25" spans="1:5" ht="24.95" customHeight="1" thickBot="1" x14ac:dyDescent="0.3">
      <c r="A25" s="42" t="s">
        <v>118</v>
      </c>
      <c r="B25" s="39"/>
      <c r="C25" s="39"/>
      <c r="D25" s="48" t="s">
        <v>118</v>
      </c>
      <c r="E25" s="70"/>
    </row>
    <row r="26" spans="1:5" ht="24.95" customHeight="1" thickBot="1" x14ac:dyDescent="0.3">
      <c r="A26" s="42" t="s">
        <v>124</v>
      </c>
      <c r="B26" s="39"/>
      <c r="C26" s="40"/>
      <c r="D26" s="71"/>
      <c r="E26" s="70"/>
    </row>
    <row r="27" spans="1:5" ht="24.95" customHeight="1" thickBot="1" x14ac:dyDescent="0.3">
      <c r="A27" s="42" t="s">
        <v>119</v>
      </c>
      <c r="B27" s="39"/>
      <c r="C27" s="38"/>
      <c r="D27" s="48" t="s">
        <v>119</v>
      </c>
      <c r="E27" s="70"/>
    </row>
    <row r="28" spans="1:5" ht="24.95" customHeight="1" thickBot="1" x14ac:dyDescent="0.3">
      <c r="A28" s="42" t="s">
        <v>125</v>
      </c>
      <c r="B28" s="39"/>
      <c r="C28" s="39"/>
      <c r="D28" s="71"/>
      <c r="E28" s="70"/>
    </row>
    <row r="29" spans="1:5" ht="24.95" customHeight="1" thickBot="1" x14ac:dyDescent="0.3">
      <c r="A29" s="42" t="s">
        <v>120</v>
      </c>
      <c r="B29" s="39"/>
      <c r="C29" s="38"/>
      <c r="D29" s="48" t="s">
        <v>120</v>
      </c>
      <c r="E29" s="39"/>
    </row>
    <row r="30" spans="1:5" ht="24.95" customHeight="1" thickBot="1" x14ac:dyDescent="0.3">
      <c r="A30" s="42" t="s">
        <v>126</v>
      </c>
      <c r="B30" s="39"/>
      <c r="C30" s="70"/>
      <c r="D30" s="71"/>
      <c r="E30" s="39"/>
    </row>
    <row r="31" spans="1:5" x14ac:dyDescent="0.25">
      <c r="A31" s="99" t="s">
        <v>74</v>
      </c>
      <c r="B31" s="99"/>
      <c r="C31" s="99"/>
      <c r="D31" s="99"/>
      <c r="E31" s="99"/>
    </row>
    <row r="32" spans="1:5" x14ac:dyDescent="0.25">
      <c r="A32" s="98" t="s">
        <v>75</v>
      </c>
      <c r="B32" s="98"/>
      <c r="C32" s="98"/>
      <c r="D32" s="98"/>
      <c r="E32" s="98"/>
    </row>
    <row r="33" spans="1:5" x14ac:dyDescent="0.25">
      <c r="A33" s="98" t="s">
        <v>76</v>
      </c>
      <c r="B33" s="98"/>
      <c r="C33" s="98"/>
      <c r="D33" s="98"/>
      <c r="E33" s="98"/>
    </row>
    <row r="34" spans="1:5" ht="30" customHeight="1" x14ac:dyDescent="0.25">
      <c r="A34" s="97" t="s">
        <v>77</v>
      </c>
      <c r="B34" s="97"/>
      <c r="C34" s="97"/>
      <c r="D34" s="97"/>
      <c r="E34" s="97"/>
    </row>
    <row r="35" spans="1:5" x14ac:dyDescent="0.25">
      <c r="A35" s="98" t="s">
        <v>78</v>
      </c>
      <c r="B35" s="98"/>
      <c r="C35" s="98"/>
      <c r="D35" s="98"/>
      <c r="E35" s="98"/>
    </row>
    <row r="36" spans="1:5" x14ac:dyDescent="0.25">
      <c r="A36" s="98" t="s">
        <v>79</v>
      </c>
      <c r="B36" s="98"/>
      <c r="C36" s="98"/>
      <c r="D36" s="98"/>
      <c r="E36" s="98"/>
    </row>
  </sheetData>
  <mergeCells count="9">
    <mergeCell ref="A34:E34"/>
    <mergeCell ref="A35:E35"/>
    <mergeCell ref="A36:E36"/>
    <mergeCell ref="A1:E1"/>
    <mergeCell ref="A2:C2"/>
    <mergeCell ref="D2:E2"/>
    <mergeCell ref="A31:E31"/>
    <mergeCell ref="A32:E32"/>
    <mergeCell ref="A33:E33"/>
  </mergeCells>
  <pageMargins left="0.7" right="0.7" top="0.75" bottom="0.75" header="0.3" footer="0.3"/>
  <pageSetup scale="7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I999"/>
  <sheetViews>
    <sheetView showWhiteSpace="0" view="pageLayout" zoomScaleNormal="100" workbookViewId="0"/>
  </sheetViews>
  <sheetFormatPr defaultColWidth="14.42578125" defaultRowHeight="15" customHeight="1" x14ac:dyDescent="0.2"/>
  <cols>
    <col min="1" max="7" width="12.85546875" style="57" customWidth="1"/>
    <col min="8" max="8" width="12.7109375" style="57" customWidth="1"/>
    <col min="9" max="9" width="8.7109375" style="57" customWidth="1"/>
    <col min="10" max="16384" width="14.42578125" style="57"/>
  </cols>
  <sheetData>
    <row r="1" spans="1:9" x14ac:dyDescent="0.2">
      <c r="A1" s="1" t="s">
        <v>1</v>
      </c>
      <c r="B1" s="1" t="s">
        <v>63</v>
      </c>
      <c r="C1" s="1" t="s">
        <v>2</v>
      </c>
      <c r="D1" s="1" t="s">
        <v>3</v>
      </c>
      <c r="E1" s="1" t="s">
        <v>56</v>
      </c>
      <c r="F1" s="1" t="s">
        <v>4</v>
      </c>
      <c r="G1" s="11" t="s">
        <v>5</v>
      </c>
      <c r="H1" s="12" t="s">
        <v>6</v>
      </c>
    </row>
    <row r="2" spans="1:9" ht="14.25" x14ac:dyDescent="0.2">
      <c r="A2" s="10" t="s">
        <v>7</v>
      </c>
      <c r="B2" s="82" t="str">
        <f>IF('2026'!B20&lt;&gt;"", '2026'!B20, "")</f>
        <v>FLEN/NORI</v>
      </c>
      <c r="C2" s="82" t="str">
        <f>IF('2026'!C20&lt;&gt;"", '2026'!C20, "")</f>
        <v/>
      </c>
      <c r="D2" s="82" t="str">
        <f>IF('2026'!D20&lt;&gt;"", '2026'!D20, "")</f>
        <v/>
      </c>
      <c r="E2" s="82" t="str">
        <f>IF('2026'!E20&lt;&gt;"", '2026'!E20, "")</f>
        <v/>
      </c>
      <c r="F2" s="82" t="str">
        <f>IF('2026'!F20&lt;&gt;"", '2026'!F20, "")</f>
        <v/>
      </c>
      <c r="G2" s="83" t="str">
        <f>IF('2026'!G20&lt;&gt;"", '2026'!G20, "")</f>
        <v/>
      </c>
      <c r="H2" s="82" t="str">
        <f>IF('2026'!H20&lt;&gt;"", '2026'!H20, "")</f>
        <v/>
      </c>
    </row>
    <row r="3" spans="1:9" ht="14.25" x14ac:dyDescent="0.2">
      <c r="A3" s="10" t="s">
        <v>8</v>
      </c>
      <c r="B3" s="82" t="str">
        <f>IF('2026'!B21&lt;&gt;"", '2026'!B21, "")</f>
        <v/>
      </c>
      <c r="C3" s="82" t="str">
        <f>IF('2026'!C21&lt;&gt;"", '2026'!C21, "")</f>
        <v/>
      </c>
      <c r="D3" s="82" t="str">
        <f>IF('2026'!D21&lt;&gt;"", '2026'!D21, "")</f>
        <v/>
      </c>
      <c r="E3" s="82" t="str">
        <f>IF('2026'!E21&lt;&gt;"", '2026'!E21, "")</f>
        <v/>
      </c>
      <c r="F3" s="82" t="str">
        <f>IF('2026'!F21&lt;&gt;"", '2026'!F21, "")</f>
        <v/>
      </c>
      <c r="G3" s="83" t="str">
        <f>IF('2026'!G21&lt;&gt;"", '2026'!G21, "")</f>
        <v/>
      </c>
      <c r="H3" s="82" t="str">
        <f>IF('2026'!H21&lt;&gt;"", '2026'!H21, "")</f>
        <v>FLEN/NORI</v>
      </c>
    </row>
    <row r="4" spans="1:9" ht="14.25" x14ac:dyDescent="0.2">
      <c r="A4" s="10" t="s">
        <v>9</v>
      </c>
      <c r="B4" s="82" t="str">
        <f>IF('2026'!B22&lt;&gt;"", '2026'!B22, "")</f>
        <v>KELL</v>
      </c>
      <c r="C4" s="82" t="str">
        <f>IF('2026'!C22&lt;&gt;"", '2026'!C22, "")</f>
        <v/>
      </c>
      <c r="D4" s="82" t="str">
        <f>IF('2026'!D22&lt;&gt;"", '2026'!D22, "")</f>
        <v/>
      </c>
      <c r="E4" s="82" t="str">
        <f>IF('2026'!E22&lt;&gt;"", '2026'!E22, "")</f>
        <v/>
      </c>
      <c r="F4" s="82" t="str">
        <f>IF('2026'!F22&lt;&gt;"", '2026'!F22, "")</f>
        <v/>
      </c>
      <c r="G4" s="82" t="str">
        <f>IF('2026'!G22&lt;&gt;"", '2026'!G22, "")</f>
        <v>BMOR</v>
      </c>
      <c r="H4" s="82" t="str">
        <f>IF('2026'!H22&lt;&gt;"", '2026'!H22, "")</f>
        <v/>
      </c>
    </row>
    <row r="5" spans="1:9" ht="14.25" x14ac:dyDescent="0.2">
      <c r="A5" s="10" t="s">
        <v>10</v>
      </c>
      <c r="B5" s="82" t="str">
        <f>IF('2026'!B23&lt;&gt;"", '2026'!B23, "")</f>
        <v/>
      </c>
      <c r="C5" s="82" t="str">
        <f>IF('2026'!C23&lt;&gt;"", '2026'!C23, "")</f>
        <v>HROB</v>
      </c>
      <c r="D5" s="82" t="str">
        <f>IF('2026'!D23&lt;&gt;"", '2026'!D23, "")</f>
        <v/>
      </c>
      <c r="E5" s="82" t="str">
        <f>IF('2026'!E23&lt;&gt;"", '2026'!E23, "")</f>
        <v>KELL</v>
      </c>
      <c r="F5" s="82" t="str">
        <f>IF('2026'!F23&lt;&gt;"", '2026'!F23, "")</f>
        <v/>
      </c>
      <c r="G5" s="82" t="str">
        <f>IF('2026'!G23&lt;&gt;"", '2026'!G23, "")</f>
        <v>BMOR</v>
      </c>
      <c r="H5" s="82" t="str">
        <f>IF('2026'!H23&lt;&gt;"", '2026'!H23, "")</f>
        <v>FLEN/NORI</v>
      </c>
    </row>
    <row r="6" spans="1:9" ht="14.25" x14ac:dyDescent="0.2">
      <c r="A6" s="10" t="s">
        <v>11</v>
      </c>
      <c r="B6" s="82" t="str">
        <f>IF('2026'!B24&lt;&gt;"", '2026'!B24, "")</f>
        <v>HROB</v>
      </c>
      <c r="C6" s="82" t="str">
        <f>IF('2026'!C24&lt;&gt;"", '2026'!C24, "")</f>
        <v/>
      </c>
      <c r="D6" s="82" t="str">
        <f>IF('2026'!D24&lt;&gt;"", '2026'!D24, "")</f>
        <v/>
      </c>
      <c r="E6" s="82" t="str">
        <f>IF('2026'!E24&lt;&gt;"", '2026'!E24, "")</f>
        <v/>
      </c>
      <c r="F6" s="82" t="str">
        <f>IF('2026'!F24&lt;&gt;"", '2026'!F24, "")</f>
        <v/>
      </c>
      <c r="G6" s="82" t="str">
        <f>IF('2026'!G24&lt;&gt;"", '2026'!G24, "")</f>
        <v/>
      </c>
      <c r="H6" s="82" t="str">
        <f>IF('2026'!H24&lt;&gt;"", '2026'!H24, "")</f>
        <v>FLEN/NORI</v>
      </c>
    </row>
    <row r="7" spans="1:9" ht="14.25" x14ac:dyDescent="0.2">
      <c r="A7" s="10" t="s">
        <v>12</v>
      </c>
      <c r="B7" s="82" t="str">
        <f>IF('2026'!B25&lt;&gt;"", '2026'!B25, "")</f>
        <v/>
      </c>
      <c r="C7" s="82" t="str">
        <f>IF('2026'!C25&lt;&gt;"", '2026'!C25, "")</f>
        <v/>
      </c>
      <c r="D7" s="82" t="str">
        <f>IF('2026'!D25&lt;&gt;"", '2026'!D25, "")</f>
        <v/>
      </c>
      <c r="E7" s="82" t="str">
        <f>IF('2026'!E25&lt;&gt;"", '2026'!E25, "")</f>
        <v/>
      </c>
      <c r="F7" s="82" t="str">
        <f>IF('2026'!F25&lt;&gt;"", '2026'!F25, "")</f>
        <v/>
      </c>
      <c r="G7" s="82" t="str">
        <f>IF('2026'!G25&lt;&gt;"", '2026'!G25, "")</f>
        <v/>
      </c>
      <c r="H7" s="82" t="str">
        <f>IF('2026'!H25&lt;&gt;"", '2026'!H25, "")</f>
        <v/>
      </c>
    </row>
    <row r="8" spans="1:9" ht="14.25" x14ac:dyDescent="0.2">
      <c r="A8" s="10" t="s">
        <v>13</v>
      </c>
      <c r="B8" s="82" t="str">
        <f>IF('2026'!B26&lt;&gt;"", '2026'!B26, "")</f>
        <v/>
      </c>
      <c r="C8" s="82" t="str">
        <f>IF('2026'!C26&lt;&gt;"", '2026'!C26, "")</f>
        <v/>
      </c>
      <c r="D8" s="82" t="str">
        <f>IF('2026'!D26&lt;&gt;"", '2026'!D26, "")</f>
        <v/>
      </c>
      <c r="E8" s="82" t="str">
        <f>IF('2026'!E26&lt;&gt;"", '2026'!E26, "")</f>
        <v/>
      </c>
      <c r="F8" s="82" t="str">
        <f>IF('2026'!F26&lt;&gt;"", '2026'!F26, "")</f>
        <v/>
      </c>
      <c r="G8" s="82" t="str">
        <f>IF('2026'!G26&lt;&gt;"", '2026'!G26, "")</f>
        <v/>
      </c>
      <c r="H8" s="82" t="str">
        <f>IF('2026'!H26&lt;&gt;"", '2026'!H26, "")</f>
        <v/>
      </c>
    </row>
    <row r="9" spans="1:9" ht="14.25" x14ac:dyDescent="0.2">
      <c r="A9" s="10" t="s">
        <v>14</v>
      </c>
      <c r="B9" s="82" t="str">
        <f>IF('2026'!B27&lt;&gt;"", '2026'!B27, "")</f>
        <v/>
      </c>
      <c r="C9" s="82" t="str">
        <f>IF('2026'!C27&lt;&gt;"", '2026'!C27, "")</f>
        <v/>
      </c>
      <c r="D9" s="82" t="str">
        <f>IF('2026'!D27&lt;&gt;"", '2026'!D27, "")</f>
        <v/>
      </c>
      <c r="E9" s="82" t="str">
        <f>IF('2026'!E27&lt;&gt;"", '2026'!E27, "")</f>
        <v/>
      </c>
      <c r="F9" s="82" t="str">
        <f>IF('2026'!F27&lt;&gt;"", '2026'!F27, "")</f>
        <v/>
      </c>
      <c r="G9" s="82" t="str">
        <f>IF('2026'!G27&lt;&gt;"", '2026'!G27, "")</f>
        <v/>
      </c>
      <c r="H9" s="82" t="str">
        <f>IF('2026'!H27&lt;&gt;"", '2026'!H27, "")</f>
        <v/>
      </c>
    </row>
    <row r="10" spans="1:9" ht="14.25" x14ac:dyDescent="0.2">
      <c r="A10" s="10" t="s">
        <v>15</v>
      </c>
      <c r="B10" s="82" t="str">
        <f>IF('2026'!B28&lt;&gt;"", '2026'!B28, "")</f>
        <v/>
      </c>
      <c r="C10" s="82" t="str">
        <f>IF('2026'!C28&lt;&gt;"", '2026'!C28, "")</f>
        <v/>
      </c>
      <c r="D10" s="82" t="str">
        <f>IF('2026'!D28&lt;&gt;"", '2026'!D28, "")</f>
        <v/>
      </c>
      <c r="E10" s="82" t="str">
        <f>IF('2026'!E28&lt;&gt;"", '2026'!E28, "")</f>
        <v/>
      </c>
      <c r="F10" s="82" t="str">
        <f>IF('2026'!F28&lt;&gt;"", '2026'!F28, "")</f>
        <v/>
      </c>
      <c r="G10" s="82" t="str">
        <f>IF('2026'!G28&lt;&gt;"", '2026'!G28, "")</f>
        <v/>
      </c>
      <c r="H10" s="82" t="str">
        <f>IF('2026'!H28&lt;&gt;"", '2026'!H28, "")</f>
        <v/>
      </c>
    </row>
    <row r="11" spans="1:9" ht="14.25" x14ac:dyDescent="0.2">
      <c r="A11" s="10" t="s">
        <v>16</v>
      </c>
      <c r="B11" s="82" t="str">
        <f>IF('2026'!B29&lt;&gt;"", '2026'!B29, "")</f>
        <v/>
      </c>
      <c r="C11" s="82" t="str">
        <f>IF('2026'!C29&lt;&gt;"", '2026'!C29, "")</f>
        <v/>
      </c>
      <c r="D11" s="82" t="str">
        <f>IF('2026'!D29&lt;&gt;"", '2026'!D29, "")</f>
        <v/>
      </c>
      <c r="E11" s="82" t="str">
        <f>IF('2026'!E29&lt;&gt;"", '2026'!E29, "")</f>
        <v/>
      </c>
      <c r="F11" s="82" t="str">
        <f>IF('2026'!F29&lt;&gt;"", '2026'!F29, "")</f>
        <v/>
      </c>
      <c r="G11" s="82" t="str">
        <f>IF('2026'!G29&lt;&gt;"", '2026'!G29, "")</f>
        <v/>
      </c>
      <c r="H11" s="82" t="str">
        <f>IF('2026'!H29&lt;&gt;"", '2026'!H29, "")</f>
        <v/>
      </c>
    </row>
    <row r="12" spans="1:9" ht="14.25" x14ac:dyDescent="0.2">
      <c r="A12" s="10" t="s">
        <v>17</v>
      </c>
      <c r="B12" s="82" t="str">
        <f>IF('2026'!B30&lt;&gt;"", '2026'!B30, "")</f>
        <v/>
      </c>
      <c r="C12" s="82" t="str">
        <f>IF('2026'!C30&lt;&gt;"", '2026'!C30, "")</f>
        <v/>
      </c>
      <c r="D12" s="82" t="str">
        <f>IF('2026'!D30&lt;&gt;"", '2026'!D30, "")</f>
        <v>LILL</v>
      </c>
      <c r="E12" s="82" t="str">
        <f>IF('2026'!E30&lt;&gt;"", '2026'!E30, "")</f>
        <v/>
      </c>
      <c r="F12" s="82" t="str">
        <f>IF('2026'!F30&lt;&gt;"", '2026'!F30, "")</f>
        <v/>
      </c>
      <c r="G12" s="82" t="str">
        <f>IF('2026'!G30&lt;&gt;"", '2026'!G30, "")</f>
        <v/>
      </c>
      <c r="H12" s="82" t="str">
        <f>IF('2026'!H30&lt;&gt;"", '2026'!H30, "")</f>
        <v/>
      </c>
    </row>
    <row r="13" spans="1:9" ht="14.25" x14ac:dyDescent="0.2">
      <c r="A13" s="10" t="s">
        <v>18</v>
      </c>
      <c r="B13" s="82" t="str">
        <f>IF('2026'!B31&lt;&gt;"", '2026'!B31, "")</f>
        <v/>
      </c>
      <c r="C13" s="82" t="str">
        <f>IF('2026'!C31&lt;&gt;"", '2026'!C31, "")</f>
        <v/>
      </c>
      <c r="D13" s="82" t="str">
        <f>IF('2026'!D31&lt;&gt;"", '2026'!D31, "")</f>
        <v/>
      </c>
      <c r="E13" s="82" t="str">
        <f>IF('2026'!E31&lt;&gt;"", '2026'!E31, "")</f>
        <v/>
      </c>
      <c r="F13" s="82" t="str">
        <f>IF('2026'!F31&lt;&gt;"", '2026'!F31, "")</f>
        <v/>
      </c>
      <c r="G13" s="82" t="str">
        <f>IF('2026'!G31&lt;&gt;"", '2026'!G31, "")</f>
        <v/>
      </c>
      <c r="H13" s="82" t="str">
        <f>IF('2026'!H31&lt;&gt;"", '2026'!H31, "")</f>
        <v/>
      </c>
    </row>
    <row r="14" spans="1:9" ht="13.5" customHeight="1" x14ac:dyDescent="0.2">
      <c r="A14" s="52" t="s">
        <v>20</v>
      </c>
      <c r="B14" s="52" t="s">
        <v>21</v>
      </c>
      <c r="C14" s="52" t="s">
        <v>22</v>
      </c>
      <c r="D14" s="53" t="s">
        <v>19</v>
      </c>
      <c r="E14" s="52" t="s">
        <v>24</v>
      </c>
      <c r="F14" s="61"/>
      <c r="G14" s="61"/>
      <c r="H14" s="61"/>
    </row>
    <row r="15" spans="1:9" ht="13.5" customHeight="1" x14ac:dyDescent="0.2">
      <c r="A15" s="55" t="str" cm="1">
        <f t="array" ref="A15">IFERROR(INDEX(A_SHIFT_ESDS,1),"")</f>
        <v>Lydia Valdez</v>
      </c>
      <c r="B15" s="54" t="str" cm="1">
        <f t="array" ref="B15">IFERROR(INDEX(B_SHIFT_ESDS,1),"")</f>
        <v>Tania Keller</v>
      </c>
      <c r="C15" s="54" t="str" cm="1">
        <f t="array" ref="C15">IFERROR(INDEX(C_SHIFT_ESDS,1),"")</f>
        <v>Allison Carter</v>
      </c>
      <c r="D15" s="54" t="str" cm="1">
        <f t="array" ref="D15">IFERROR(INDEX(E_SHIFT_ESDS,1),"")</f>
        <v>Jessica Leatherwood</v>
      </c>
      <c r="E15" s="54" t="str" cm="1">
        <f t="array" ref="E15">IFERROR(INDEX(F_SHIFT_ESDS,1),"")</f>
        <v>Susan Miller</v>
      </c>
      <c r="F15" s="61"/>
      <c r="G15" s="62"/>
      <c r="I15" s="63"/>
    </row>
    <row r="16" spans="1:9" ht="13.5" customHeight="1" x14ac:dyDescent="0.2">
      <c r="A16" s="55" t="str" cm="1">
        <f t="array" ref="A16">IFERROR(INDEX(A_SHIFT_ESDS,2),"")</f>
        <v>Cheri Smith</v>
      </c>
      <c r="B16" s="54" t="str" cm="1">
        <f t="array" ref="B16">IFERROR(INDEX(B_SHIFT_ESDS,2),"")</f>
        <v>Suzette Schlundt</v>
      </c>
      <c r="C16" s="54" t="str" cm="1">
        <f t="array" ref="C16">IFERROR(INDEX(C_SHIFT_ESDS,2),"")</f>
        <v>Ami Muro</v>
      </c>
      <c r="D16" s="54" t="str" cm="1">
        <f t="array" ref="D16">IFERROR(INDEX(E_SHIFT_ESDS,2),"")</f>
        <v>Sarah Ringer</v>
      </c>
      <c r="E16" s="54" t="str" cm="1">
        <f t="array" ref="E16">IFERROR(INDEX(F_SHIFT_ESDS,2),"")</f>
        <v xml:space="preserve">Tami Worden     </v>
      </c>
      <c r="G16" s="13"/>
    </row>
    <row r="17" spans="1:8" ht="13.5" customHeight="1" x14ac:dyDescent="0.2">
      <c r="A17" s="55" t="str" cm="1">
        <f t="array" ref="A17">IFERROR(INDEX(A_SHIFT_ESDS,3),"")</f>
        <v>Patty O’Grady</v>
      </c>
      <c r="B17" s="54" t="str" cm="1">
        <f t="array" ref="B17">IFERROR(INDEX(B_SHIFT_ESDS,3),"")</f>
        <v>Brenda Morgantini</v>
      </c>
      <c r="C17" s="54" t="str" cm="1">
        <f t="array" ref="C17">IFERROR(INDEX(C_SHIFT_ESDS,3),"")</f>
        <v>Mathew Hackney</v>
      </c>
      <c r="D17" s="54" t="str" cm="1">
        <f t="array" ref="D17">IFERROR(INDEX(E_SHIFT_ESDS,3),"")</f>
        <v>Nozomi Vasquez</v>
      </c>
      <c r="E17" s="54" t="str" cm="1">
        <f t="array" ref="E17">IFERROR(INDEX(F_SHIFT_ESDS,3),"")</f>
        <v>Nyia Vang</v>
      </c>
      <c r="G17" s="13"/>
    </row>
    <row r="18" spans="1:8" ht="13.5" customHeight="1" x14ac:dyDescent="0.2">
      <c r="A18" s="55" t="str" cm="1">
        <f t="array" ref="A18">IFERROR(INDEX(A_SHIFT_ESDS,4),"")</f>
        <v>Matt Sonderegger</v>
      </c>
      <c r="B18" s="54" t="str" cm="1">
        <f t="array" ref="B18">IFERROR(INDEX(B_SHIFT_ESDS,4),"")</f>
        <v>Zer Yang</v>
      </c>
      <c r="C18" s="54" t="str" cm="1">
        <f t="array" ref="C18">IFERROR(INDEX(C_SHIFT_ESDS,4),"")</f>
        <v>Sofia Ruelas</v>
      </c>
      <c r="D18" s="54" t="str" cm="1">
        <f t="array" ref="D18">IFERROR(INDEX(E_SHIFT_ESDS,4),"")</f>
        <v>Kelly Wiens</v>
      </c>
      <c r="E18" s="54" t="str" cm="1">
        <f t="array" ref="E18">IFERROR(INDEX(F_SHIFT_ESDS,4),"")</f>
        <v>Elexis Scott</v>
      </c>
      <c r="G18" s="86" t="s">
        <v>151</v>
      </c>
      <c r="H18" s="86"/>
    </row>
    <row r="19" spans="1:8" ht="13.5" customHeight="1" x14ac:dyDescent="0.2">
      <c r="A19" s="55" t="str" cm="1">
        <f t="array" ref="A19">IFERROR(INDEX(A_SHIFT_ESDS,5),"")</f>
        <v>Lorraine Flenory</v>
      </c>
      <c r="B19" s="54" t="str" cm="1">
        <f t="array" ref="B19">IFERROR(INDEX(B_SHIFT_ESDS,5),"")</f>
        <v>Rina Rosales</v>
      </c>
      <c r="C19" s="54" cm="1">
        <f t="array" ref="C19">IFERROR(INDEX(C_SHIFT_ESDS,5),"")</f>
        <v>0</v>
      </c>
      <c r="D19" s="54" t="str" cm="1">
        <f t="array" ref="D19">IFERROR(INDEX(E_SHIFT_ESDS,5),"")</f>
        <v>Melissa Joint</v>
      </c>
      <c r="E19" s="54" t="str" cm="1">
        <f t="array" ref="E19">IFERROR(INDEX(F_SHIFT_ESDS,5),"")</f>
        <v>Lauren Lilly</v>
      </c>
      <c r="F19" s="74">
        <v>730</v>
      </c>
      <c r="G19" s="56"/>
      <c r="H19" s="23"/>
    </row>
    <row r="20" spans="1:8" ht="13.5" customHeight="1" x14ac:dyDescent="0.2">
      <c r="A20" s="55" t="str" cm="1">
        <f t="array" ref="A20">IFERROR(INDEX(A_SHIFT_ESDS,6),"")</f>
        <v>Jodi Garland</v>
      </c>
      <c r="B20" s="54" t="str" cm="1">
        <f t="array" ref="B20">IFERROR(INDEX(B_SHIFT_ESDS,6),"")</f>
        <v>Norma Garvey</v>
      </c>
      <c r="C20" s="54" cm="1">
        <f t="array" ref="C20">IFERROR(INDEX(C_SHIFT_ESDS,6),"")</f>
        <v>0</v>
      </c>
      <c r="D20" s="54" t="str" cm="1">
        <f t="array" ref="D20">IFERROR(INDEX(E_SHIFT_ESDS,6),"")</f>
        <v>Bianca Hernandez</v>
      </c>
      <c r="E20" s="54" t="str" cm="1">
        <f t="array" ref="E20">IFERROR(INDEX(F_SHIFT_ESDS,6),"")</f>
        <v>Kimberly Lott</v>
      </c>
      <c r="F20" s="74">
        <v>930</v>
      </c>
      <c r="G20" s="56"/>
      <c r="H20" s="23"/>
    </row>
    <row r="21" spans="1:8" ht="13.5" customHeight="1" x14ac:dyDescent="0.2">
      <c r="A21" s="55" t="str" cm="1">
        <f t="array" ref="A21">IFERROR(INDEX(A_SHIFT_ESDS,7),"")</f>
        <v>Monica Ramirez</v>
      </c>
      <c r="B21" s="54" t="str" cm="1">
        <f t="array" ref="B21">IFERROR(INDEX(B_SHIFT_ESDS,7),"")</f>
        <v>Lori Brown</v>
      </c>
      <c r="C21" s="54" cm="1">
        <f t="array" ref="C21">IFERROR(INDEX(C_SHIFT_ESDS,7),"")</f>
        <v>0</v>
      </c>
      <c r="D21" s="54" t="str" cm="1">
        <f t="array" ref="D21">IFERROR(INDEX(E_SHIFT_ESDS,7),"")</f>
        <v>Paola Barrientos</v>
      </c>
      <c r="E21" s="54" t="str" cm="1">
        <f t="array" ref="E21">IFERROR(INDEX(F_SHIFT_ESDS,7),"")</f>
        <v>Mariah Rosales</v>
      </c>
      <c r="F21" s="56">
        <v>1130</v>
      </c>
      <c r="G21" s="56"/>
      <c r="H21" s="23"/>
    </row>
    <row r="22" spans="1:8" ht="13.5" customHeight="1" x14ac:dyDescent="0.2">
      <c r="A22" s="55" t="str" cm="1">
        <f t="array" ref="A22">IFERROR(INDEX(A_SHIFT_ESDS,8),"")</f>
        <v>Jamielyn Shwetzer</v>
      </c>
      <c r="B22" s="54" t="str" cm="1">
        <f t="array" ref="B22">IFERROR(INDEX(B_SHIFT_ESDS,8),"")</f>
        <v xml:space="preserve">Heidi Roberts </v>
      </c>
      <c r="C22" s="54" cm="1">
        <f t="array" ref="C22">IFERROR(INDEX(C_SHIFT_ESDS,8),"")</f>
        <v>0</v>
      </c>
      <c r="D22" s="54" t="str" cm="1">
        <f t="array" ref="D22">IFERROR(INDEX(E_SHIFT_ESDS,8),"")</f>
        <v>Jason Yang</v>
      </c>
      <c r="E22" s="54" t="str" cm="1">
        <f t="array" ref="E22">IFERROR(INDEX(F_SHIFT_ESDS,8),"")</f>
        <v>Raquel Salazar</v>
      </c>
      <c r="F22" s="56">
        <v>1330</v>
      </c>
      <c r="G22" s="56"/>
      <c r="H22" s="23"/>
    </row>
    <row r="23" spans="1:8" ht="13.5" customHeight="1" x14ac:dyDescent="0.2">
      <c r="A23" s="55" t="str" cm="1">
        <f t="array" ref="A23">IFERROR(INDEX(A_SHIFT_ESDS,9),"")</f>
        <v>Valeria Guzman</v>
      </c>
      <c r="B23" s="54" t="str" cm="1">
        <f t="array" ref="B23">IFERROR(INDEX(B_SHIFT_ESDS,9),"")</f>
        <v>Rebekah Isquierdo</v>
      </c>
      <c r="C23" s="54" cm="1">
        <f t="array" ref="C23">IFERROR(INDEX(C_SHIFT_ESDS,9),"")</f>
        <v>0</v>
      </c>
      <c r="D23" s="54" t="str" cm="1">
        <f t="array" ref="D23">IFERROR(INDEX(E_SHIFT_ESDS,9),"")</f>
        <v>Adrienne Rodriguez</v>
      </c>
      <c r="E23" s="54" t="str" cm="1">
        <f t="array" ref="E23">IFERROR(INDEX(F_SHIFT_ESDS,9),"")</f>
        <v>Jorge Alcorn</v>
      </c>
      <c r="F23" s="56">
        <v>1530</v>
      </c>
      <c r="G23" s="56"/>
      <c r="H23" s="23"/>
    </row>
    <row r="24" spans="1:8" ht="13.5" customHeight="1" x14ac:dyDescent="0.2">
      <c r="A24" s="55" t="str" cm="1">
        <f t="array" ref="A24">IFERROR(INDEX(A_SHIFT_ESDS,10),"")</f>
        <v>Mindy Mcclung</v>
      </c>
      <c r="B24" s="54" t="str" cm="1">
        <f t="array" ref="B24">IFERROR(INDEX(B_SHIFT_ESDS,10),"")</f>
        <v>Darlene Foell</v>
      </c>
      <c r="C24" s="54" cm="1">
        <f t="array" ref="C24">IFERROR(INDEX(C_SHIFT_ESDS,10),"")</f>
        <v>0</v>
      </c>
      <c r="D24" s="54" t="str" cm="1">
        <f t="array" ref="D24">IFERROR(INDEX(E_SHIFT_ESDS,10),"")</f>
        <v>Adriana Dedios</v>
      </c>
      <c r="E24" s="54" t="str" cm="1">
        <f t="array" ref="E24">IFERROR(INDEX(F_SHIFT_ESDS,10),"")</f>
        <v>Jasmine Gomez</v>
      </c>
      <c r="F24" s="56">
        <v>1730</v>
      </c>
      <c r="G24" s="56"/>
      <c r="H24" s="23"/>
    </row>
    <row r="25" spans="1:8" ht="13.5" customHeight="1" x14ac:dyDescent="0.2">
      <c r="A25" s="55" t="str" cm="1">
        <f t="array" ref="A25">IFERROR(INDEX(A_SHIFT_ESDS,11),"")</f>
        <v>Alexis Yandell</v>
      </c>
      <c r="B25" s="54" t="str" cm="1">
        <f t="array" ref="B25">IFERROR(INDEX(B_SHIFT_ESDS,11),"")</f>
        <v>Markey Blankenship</v>
      </c>
      <c r="C25" s="54" cm="1">
        <f t="array" ref="C25">IFERROR(INDEX(C_SHIFT_ESDS,11),"")</f>
        <v>0</v>
      </c>
      <c r="D25" s="54" t="str" cm="1">
        <f t="array" ref="D25">IFERROR(INDEX(E_SHIFT_ESDS,11),"")</f>
        <v>Dulcivet Garcia</v>
      </c>
      <c r="E25" s="54" t="str" cm="1">
        <f t="array" ref="E25">IFERROR(INDEX(F_SHIFT_ESDS,11),"")</f>
        <v>April Ponce</v>
      </c>
      <c r="F25" s="74">
        <v>1930</v>
      </c>
      <c r="G25" s="56"/>
      <c r="H25" s="23"/>
    </row>
    <row r="26" spans="1:8" ht="13.5" customHeight="1" x14ac:dyDescent="0.2">
      <c r="A26" s="55" t="str" cm="1">
        <f t="array" ref="A26">IFERROR(INDEX(A_SHIFT_ESDS,12),"")</f>
        <v>Marrie Sip</v>
      </c>
      <c r="B26" s="54" t="str" cm="1">
        <f t="array" ref="B26">IFERROR(INDEX(B_SHIFT_ESDS,12),"")</f>
        <v>Sonam Carter</v>
      </c>
      <c r="C26" s="54" cm="1">
        <f t="array" ref="C26">IFERROR(INDEX(C_SHIFT_ESDS,12),"")</f>
        <v>0</v>
      </c>
      <c r="D26" s="54" t="str" cm="1">
        <f t="array" ref="D26">IFERROR(INDEX(E_SHIFT_ESDS,12),"")</f>
        <v>Susie Amezcua</v>
      </c>
      <c r="E26" s="54" t="str" cm="1">
        <f t="array" ref="E26">IFERROR(INDEX(F_SHIFT_ESDS,12),"")</f>
        <v>Curt Barrow</v>
      </c>
      <c r="F26" s="74">
        <v>2130</v>
      </c>
      <c r="G26" s="56"/>
      <c r="H26" s="23"/>
    </row>
    <row r="27" spans="1:8" ht="13.5" customHeight="1" x14ac:dyDescent="0.2">
      <c r="A27" s="55" t="str" cm="1">
        <f t="array" ref="A27">IFERROR(INDEX(A_SHIFT_ESDS,13),"")</f>
        <v>Chelsea Meave</v>
      </c>
      <c r="B27" s="54" t="str" cm="1">
        <f t="array" ref="B27">IFERROR(INDEX(B_SHIFT_ESDS,13),"")</f>
        <v xml:space="preserve">Jessica Dukes </v>
      </c>
      <c r="C27" s="54" cm="1">
        <f t="array" ref="C27">IFERROR(INDEX(C_SHIFT_ESDS,13),"")</f>
        <v>0</v>
      </c>
      <c r="D27" s="54" t="str" cm="1">
        <f t="array" ref="D27">IFERROR(INDEX(E_SHIFT_ESDS,13),"")</f>
        <v>Nathanly Rodriguez</v>
      </c>
      <c r="E27" s="54" t="str" cm="1">
        <f t="array" ref="E27">IFERROR(INDEX(F_SHIFT_ESDS,13),"")</f>
        <v>Stephanie Rojas</v>
      </c>
      <c r="F27" s="74">
        <v>2330</v>
      </c>
      <c r="G27" s="56"/>
      <c r="H27" s="23"/>
    </row>
    <row r="28" spans="1:8" ht="13.5" customHeight="1" x14ac:dyDescent="0.2">
      <c r="A28" s="55" t="str" cm="1">
        <f t="array" ref="A28">IFERROR(INDEX(A_SHIFT_ESDS,14),"")</f>
        <v>Gwen Anzaldo</v>
      </c>
      <c r="B28" s="54" t="str" cm="1">
        <f t="array" ref="B28">IFERROR(INDEX(B_SHIFT_ESDS,14),"")</f>
        <v xml:space="preserve">Sarah Fraley </v>
      </c>
      <c r="C28" s="54" cm="1">
        <f t="array" ref="C28">IFERROR(INDEX(C_SHIFT_ESDS,14),"")</f>
        <v>0</v>
      </c>
      <c r="D28" s="54" t="str" cm="1">
        <f t="array" ref="D28">IFERROR(INDEX(E_SHIFT_ESDS,14),"")</f>
        <v>Akilah Mccullough</v>
      </c>
      <c r="E28" s="54" t="str" cm="1">
        <f t="array" ref="E28">IFERROR(INDEX(F_SHIFT_ESDS,14),"")</f>
        <v>Mark Teixeira</v>
      </c>
      <c r="F28" s="56">
        <v>130</v>
      </c>
      <c r="G28" s="56"/>
      <c r="H28" s="23"/>
    </row>
    <row r="29" spans="1:8" ht="13.5" customHeight="1" x14ac:dyDescent="0.2">
      <c r="A29" s="55" t="str" cm="1">
        <f t="array" ref="A29">IFERROR(INDEX(A_SHIFT_ESDS,15),"")</f>
        <v>Robert Noriega</v>
      </c>
      <c r="B29" s="54" t="str" cm="1">
        <f t="array" ref="B29">IFERROR(INDEX(B_SHIFT_ESDS,15),"")</f>
        <v>Josephine Botello</v>
      </c>
      <c r="C29" s="54" cm="1">
        <f t="array" ref="C29">IFERROR(INDEX(C_SHIFT_ESDS,15),"")</f>
        <v>0</v>
      </c>
      <c r="D29" s="54" t="str" cm="1">
        <f t="array" ref="D29">IFERROR(INDEX(E_SHIFT_ESDS,15),"")</f>
        <v>Allyson Trevino</v>
      </c>
      <c r="E29" s="54" t="str" cm="1">
        <f t="array" ref="E29">IFERROR(INDEX(F_SHIFT_ESDS,15),"")</f>
        <v>Edie Ochoa</v>
      </c>
      <c r="G29" s="100" t="s">
        <v>166</v>
      </c>
      <c r="H29" s="100"/>
    </row>
    <row r="30" spans="1:8" ht="13.5" customHeight="1" x14ac:dyDescent="0.2">
      <c r="A30" s="55" cm="1">
        <f t="array" ref="A30">IFERROR(INDEX(A_SHIFT_ESDS,16),"")</f>
        <v>0</v>
      </c>
      <c r="B30" s="54" t="str" cm="1">
        <f t="array" ref="B30">IFERROR(INDEX(B_SHIFT_ESDS,16),"")</f>
        <v>Maribel Escareno</v>
      </c>
      <c r="C30" s="54"/>
      <c r="D30" s="54" t="str" cm="1">
        <f t="array" ref="D30">IFERROR(INDEX(E_SHIFT_ESDS,16),"")</f>
        <v>Jessica Cardoza</v>
      </c>
      <c r="E30" s="54" cm="1">
        <f t="array" ref="E30">IFERROR(INDEX(F_SHIFT_ESDS,16),"")</f>
        <v>0</v>
      </c>
      <c r="G30" s="74">
        <v>1530</v>
      </c>
      <c r="H30" s="75" t="str">
        <f>IF('2026'!I26&lt;&gt;"", '2026'!I26, "")</f>
        <v/>
      </c>
    </row>
    <row r="31" spans="1:8" ht="13.5" customHeight="1" x14ac:dyDescent="0.2">
      <c r="A31" s="55" cm="1">
        <f t="array" ref="A31">IFERROR(INDEX(A_SHIFT_ESDS,17),"")</f>
        <v>0</v>
      </c>
      <c r="B31" s="54" t="str" cm="1">
        <f t="array" ref="B31">IFERROR(INDEX(B_SHIFT_ESDS,17),"")</f>
        <v>Kyler Lorin</v>
      </c>
      <c r="C31" s="54"/>
      <c r="D31" s="54" t="str" cm="1">
        <f t="array" ref="D31">IFERROR(INDEX(E_SHIFT_ESDS,17),"")</f>
        <v>Jesse Jimenez</v>
      </c>
      <c r="E31" s="54" cm="1">
        <f t="array" ref="E31">IFERROR(INDEX(F_SHIFT_ESDS,17),"")</f>
        <v>0</v>
      </c>
      <c r="F31" s="58"/>
      <c r="G31" s="74">
        <v>1730</v>
      </c>
      <c r="H31" s="75" t="str">
        <f>IF('2026'!I27&lt;&gt;"", '2026'!I27, "")</f>
        <v/>
      </c>
    </row>
    <row r="32" spans="1:8" ht="13.5" customHeight="1" x14ac:dyDescent="0.2">
      <c r="A32" s="55" cm="1">
        <f t="array" ref="A32">IFERROR(INDEX(A_SHIFT_ESDS,18),"")</f>
        <v>0</v>
      </c>
      <c r="B32" s="54" t="str" cm="1">
        <f t="array" ref="B32">IFERROR(INDEX(B_SHIFT_ESDS,18),"")</f>
        <v>Eric Uribe</v>
      </c>
      <c r="C32" s="54"/>
      <c r="D32" s="54" t="str" cm="1">
        <f t="array" ref="D32">IFERROR(INDEX(E_SHIFT_ESDS,18),"")</f>
        <v>Cicaly Cruz</v>
      </c>
      <c r="E32" s="54" cm="1">
        <f t="array" ref="E32">IFERROR(INDEX(F_SHIFT_ESDS,18),"")</f>
        <v>0</v>
      </c>
      <c r="G32" s="74">
        <v>1930</v>
      </c>
      <c r="H32" s="75" t="str">
        <f>IF('2026'!I28&lt;&gt;"", '2026'!I28, "")</f>
        <v/>
      </c>
    </row>
    <row r="33" spans="1:8" ht="13.5" customHeight="1" x14ac:dyDescent="0.2">
      <c r="A33" s="55" cm="1">
        <f t="array" ref="A33">IFERROR(INDEX(A_SHIFT_ESDS,19),"")</f>
        <v>0</v>
      </c>
      <c r="B33" s="54" t="str" cm="1">
        <f t="array" ref="B33">IFERROR(INDEX(B_SHIFT_ESDS,19),"")</f>
        <v>Melina Davila</v>
      </c>
      <c r="C33" s="54"/>
      <c r="D33" s="54" t="str" cm="1">
        <f t="array" ref="D33">IFERROR(INDEX(E_SHIFT_ESDS,19),"")</f>
        <v>Cassidy Voudry</v>
      </c>
      <c r="E33" s="54" cm="1">
        <f t="array" ref="E33">IFERROR(INDEX(F_SHIFT_ESDS,19),"")</f>
        <v>0</v>
      </c>
      <c r="G33" s="74">
        <v>2130</v>
      </c>
      <c r="H33" s="75" t="str">
        <f>IF('2026'!I29&lt;&gt;"", '2026'!I29, "")</f>
        <v/>
      </c>
    </row>
    <row r="34" spans="1:8" ht="13.5" customHeight="1" x14ac:dyDescent="0.2">
      <c r="A34" s="55" cm="1">
        <f t="array" ref="A34">IFERROR(INDEX(A_SHIFT_ESDS,20),"")</f>
        <v>0</v>
      </c>
      <c r="B34" s="54" t="str" cm="1">
        <f t="array" ref="B34">IFERROR(INDEX(B_SHIFT_ESDS,20),"")</f>
        <v>Jose Lopez</v>
      </c>
      <c r="C34" s="54"/>
      <c r="D34" s="54" t="str" cm="1">
        <f t="array" ref="D34">IFERROR(INDEX(E_SHIFT_ESDS,20),"")</f>
        <v>Kanong Lee</v>
      </c>
      <c r="E34" s="54" cm="1">
        <f t="array" ref="E34">IFERROR(INDEX(F_SHIFT_ESDS,20),"")</f>
        <v>0</v>
      </c>
      <c r="G34" s="74">
        <v>2330</v>
      </c>
      <c r="H34" s="75" t="str">
        <f>IF('2026'!I30&lt;&gt;"", '2026'!I30, "")</f>
        <v/>
      </c>
    </row>
    <row r="35" spans="1:8" ht="13.5" customHeight="1" x14ac:dyDescent="0.2">
      <c r="A35" s="55" cm="1">
        <f t="array" ref="A35">IFERROR(INDEX(A_SHIFT_ESDS,21),"")</f>
        <v>0</v>
      </c>
      <c r="B35" s="54" t="str" cm="1">
        <f t="array" ref="B35">IFERROR(INDEX(B_SHIFT_ESDS,21),"")</f>
        <v>Brenda Basulto</v>
      </c>
      <c r="C35" s="54"/>
      <c r="D35" s="54" t="str" cm="1">
        <f t="array" ref="D35">IFERROR(INDEX(E_SHIFT_ESDS,21),"")</f>
        <v>Delaney Boyd-Escobedo</v>
      </c>
      <c r="E35" s="54" cm="1">
        <f t="array" ref="E35">IFERROR(INDEX(F_SHIFT_ESDS,21),"")</f>
        <v>0</v>
      </c>
      <c r="G35" s="74">
        <v>130</v>
      </c>
      <c r="H35" s="75" t="str">
        <f>IF('2026'!I31&lt;&gt;"", '2026'!I31, "")</f>
        <v/>
      </c>
    </row>
    <row r="36" spans="1:8" ht="12.2" customHeight="1" x14ac:dyDescent="0.25">
      <c r="A36" s="54"/>
      <c r="B36" s="54" t="str" cm="1">
        <f t="array" ref="B36">IFERROR(INDEX(B_SHIFT_ESDS,22),"")</f>
        <v>Vanessa Mercado</v>
      </c>
      <c r="C36" s="52" t="s">
        <v>37</v>
      </c>
      <c r="D36" s="54" t="str" cm="1">
        <f t="array" ref="D36">IFERROR(INDEX(E_SHIFT_ESDS,22),"")</f>
        <v>Jackeline Carreon</v>
      </c>
      <c r="E36" s="54" cm="1">
        <f t="array" ref="E36">IFERROR(INDEX(F_SHIFT_ESDS,22),"")</f>
        <v>0</v>
      </c>
      <c r="G36" s="84"/>
      <c r="H36" s="85"/>
    </row>
    <row r="37" spans="1:8" ht="12.2" customHeight="1" x14ac:dyDescent="0.25">
      <c r="A37" s="54"/>
      <c r="B37" s="54" cm="1">
        <f t="array" ref="B37">IFERROR(INDEX(B_SHIFT_ESDS,23),"")</f>
        <v>0</v>
      </c>
      <c r="C37" s="54" t="str" cm="1">
        <f t="array" ref="C37">IFERROR(INDEX(D_SHIFT_ESDS,1),"")</f>
        <v>May Yen Yang</v>
      </c>
      <c r="D37" s="54" t="str" cm="1">
        <f t="array" ref="D37">IFERROR(INDEX(E_SHIFT_ESDS,23),"")</f>
        <v>Leanne Heslep</v>
      </c>
      <c r="E37" s="54" cm="1">
        <f t="array" ref="E37">IFERROR(INDEX(F_SHIFT_ESDS,23),"")</f>
        <v>0</v>
      </c>
      <c r="F37" s="65"/>
      <c r="G37" s="59" t="s">
        <v>114</v>
      </c>
      <c r="H37" s="60"/>
    </row>
    <row r="38" spans="1:8" ht="12.2" customHeight="1" x14ac:dyDescent="0.2">
      <c r="A38" s="54"/>
      <c r="B38" s="54" cm="1">
        <f t="array" ref="B38">IFERROR(INDEX(B_SHIFT_ESDS,24),"")</f>
        <v>0</v>
      </c>
      <c r="C38" s="54" t="str" cm="1">
        <f t="array" ref="C38">IFERROR(INDEX(D_SHIFT_ESDS,2),"")</f>
        <v>Lydia Martinez</v>
      </c>
      <c r="D38" s="54" t="str" cm="1">
        <f t="array" ref="D38">IFERROR(INDEX(E_SHIFT_ESDS,24),"")</f>
        <v xml:space="preserve">Brittany Watson </v>
      </c>
      <c r="E38" s="54" cm="1">
        <f t="array" ref="E38">IFERROR(INDEX(F_SHIFT_ESDS,24),"")</f>
        <v>0</v>
      </c>
      <c r="G38" s="59" t="s">
        <v>18</v>
      </c>
      <c r="H38" s="60"/>
    </row>
    <row r="39" spans="1:8" ht="12.2" customHeight="1" x14ac:dyDescent="0.25">
      <c r="A39" s="54"/>
      <c r="B39" s="54" cm="1">
        <f t="array" ref="B39">IFERROR(INDEX(B_SHIFT_ESDS,25),"")</f>
        <v>0</v>
      </c>
      <c r="C39" s="54" t="str" cm="1">
        <f t="array" ref="C39">IFERROR(INDEX(D_SHIFT_ESDS,3),"")</f>
        <v>Amanda Willis</v>
      </c>
      <c r="D39" s="54" cm="1">
        <f t="array" ref="D39">IFERROR(INDEX(E_SHIFT_ESDS,25),"")</f>
        <v>0</v>
      </c>
      <c r="E39" s="54"/>
      <c r="F39" s="65"/>
      <c r="G39" s="59" t="s">
        <v>7</v>
      </c>
      <c r="H39" s="60"/>
    </row>
    <row r="40" spans="1:8" ht="12.2" customHeight="1" x14ac:dyDescent="0.2">
      <c r="A40" s="54"/>
      <c r="B40" s="54" cm="1">
        <f t="array" ref="B40">IFERROR(INDEX(B_SHIFT_ESDS,26),"")</f>
        <v>0</v>
      </c>
      <c r="C40" s="54" t="str" cm="1">
        <f t="array" ref="C40">IFERROR(INDEX(D_SHIFT_ESDS,4),"")</f>
        <v>Maria Jones</v>
      </c>
      <c r="D40" s="54" cm="1">
        <f t="array" ref="D40">IFERROR(INDEX(E_SHIFT_ESDS,26),"")</f>
        <v>0</v>
      </c>
      <c r="E40" s="54"/>
      <c r="F40" s="61"/>
      <c r="G40" s="59" t="s">
        <v>8</v>
      </c>
      <c r="H40" s="60"/>
    </row>
    <row r="41" spans="1:8" ht="12.2" customHeight="1" x14ac:dyDescent="0.2">
      <c r="A41" s="54"/>
      <c r="B41" s="54" cm="1">
        <f t="array" ref="B41">IFERROR(INDEX(B_SHIFT_ESDS,27),"")</f>
        <v>0</v>
      </c>
      <c r="C41" s="54" t="str" cm="1">
        <f t="array" ref="C41">IFERROR(INDEX(D_SHIFT_ESDS,5),"")</f>
        <v>Shadon Riahizadeh</v>
      </c>
      <c r="D41" s="54" cm="1">
        <f t="array" ref="D41">IFERROR(INDEX(E_SHIFT_ESDS,27),"")</f>
        <v>0</v>
      </c>
      <c r="E41" s="54"/>
      <c r="F41" s="61"/>
      <c r="G41" s="61"/>
      <c r="H41" s="61"/>
    </row>
    <row r="42" spans="1:8" ht="12.2" customHeight="1" x14ac:dyDescent="0.2">
      <c r="A42" s="54"/>
      <c r="B42" s="54" cm="1">
        <f t="array" ref="B42">IFERROR(INDEX(B_SHIFT_ESDS,28),"")</f>
        <v>0</v>
      </c>
      <c r="C42" s="54" t="str" cm="1">
        <f t="array" ref="C42">IFERROR(INDEX(D_SHIFT_ESDS,6),"")</f>
        <v>Danielle Parre</v>
      </c>
      <c r="D42" s="54" cm="1">
        <f t="array" ref="D42">IFERROR(INDEX(E_SHIFT_ESDS,28),"")</f>
        <v>0</v>
      </c>
      <c r="E42" s="54"/>
      <c r="F42" s="61"/>
      <c r="G42" s="61"/>
      <c r="H42" s="61"/>
    </row>
    <row r="43" spans="1:8" ht="15.75" customHeight="1" x14ac:dyDescent="0.2">
      <c r="A43" s="54"/>
      <c r="B43" s="54" cm="1">
        <f t="array" ref="B43">IFERROR(INDEX(B_SHIFT_ESDS,29),"")</f>
        <v>0</v>
      </c>
      <c r="C43" s="54" t="str" cm="1">
        <f t="array" ref="C43">IFERROR(INDEX(D_SHIFT_ESDS,7),"")</f>
        <v>Brenda Basulto</v>
      </c>
      <c r="D43" s="54" cm="1">
        <f t="array" ref="D43">IFERROR(INDEX(E_SHIFT_ESDS,29),"")</f>
        <v>0</v>
      </c>
      <c r="E43" s="54"/>
      <c r="F43" s="64"/>
      <c r="G43" s="61"/>
      <c r="H43" s="61"/>
    </row>
    <row r="44" spans="1:8" ht="15.75" customHeight="1" x14ac:dyDescent="0.2">
      <c r="A44" s="54"/>
      <c r="B44" s="54" cm="1">
        <f t="array" ref="B44">IFERROR(INDEX(B_SHIFT_ESDS,30),"")</f>
        <v>0</v>
      </c>
      <c r="C44" s="54" t="str" cm="1">
        <f t="array" ref="C44">IFERROR(INDEX(D_SHIFT_ESDS,8),"")</f>
        <v>Emily Franco</v>
      </c>
      <c r="D44" s="54" cm="1">
        <f t="array" ref="D44">IFERROR(INDEX(E_SHIFT_ESDS,30),"")</f>
        <v>0</v>
      </c>
      <c r="E44" s="54"/>
      <c r="F44" s="64"/>
      <c r="G44" s="61"/>
      <c r="H44" s="61"/>
    </row>
    <row r="45" spans="1:8" ht="15.75" customHeight="1" x14ac:dyDescent="0.2">
      <c r="A45" s="54"/>
      <c r="B45" s="54" cm="1">
        <f t="array" ref="B45">IFERROR(INDEX(B_SHIFT_ESDS,31),"")</f>
        <v>0</v>
      </c>
      <c r="C45" s="54" t="str" cm="1">
        <f t="array" ref="C45">IFERROR(INDEX(D_SHIFT_ESDS,9),"")</f>
        <v>Ricka  Majors</v>
      </c>
      <c r="D45" s="54" cm="1">
        <f t="array" ref="D45">IFERROR(INDEX(E_SHIFT_ESDS,31),"")</f>
        <v>0</v>
      </c>
      <c r="E45" s="55"/>
    </row>
    <row r="46" spans="1:8" ht="15.75" customHeight="1" x14ac:dyDescent="0.2">
      <c r="A46" s="54" cm="1">
        <f t="array" ref="A46">IFERROR(INDEX(TRAINEES_ESDS,16),"")</f>
        <v>0</v>
      </c>
      <c r="B46" s="54" cm="1">
        <f t="array" ref="B46">IFERROR(INDEX(B_SHIFT_ESDS,32),"")</f>
        <v>0</v>
      </c>
      <c r="C46" s="54" t="str" cm="1">
        <f t="array" ref="C46">IFERROR(INDEX(D_SHIFT_ESDS,10),"")</f>
        <v>Asuzena Aquino</v>
      </c>
      <c r="D46" s="54" cm="1">
        <f t="array" ref="D46">IFERROR(INDEX(E_SHIFT_ESDS,32),"")</f>
        <v>0</v>
      </c>
      <c r="E46" s="55"/>
    </row>
    <row r="47" spans="1:8" ht="15.75" customHeight="1" x14ac:dyDescent="0.2">
      <c r="A47" s="54" cm="1">
        <f t="array" ref="A47">IFERROR(INDEX(TRAINEES_ESDS,17),"")</f>
        <v>0</v>
      </c>
      <c r="B47" s="54" cm="1">
        <f t="array" ref="B47">IFERROR(INDEX(B_SHIFT_ESDS,33),"")</f>
        <v>0</v>
      </c>
      <c r="C47" s="54" t="str" cm="1">
        <f t="array" ref="C47">IFERROR(INDEX(D_SHIFT_ESDS,11),"")</f>
        <v>Jorge Rosales</v>
      </c>
    </row>
    <row r="48" spans="1:8" ht="15.75" customHeight="1" x14ac:dyDescent="0.2">
      <c r="A48" s="54" cm="1">
        <f t="array" ref="A48">IFERROR(INDEX(TRAINEES_ESDS,18),"")</f>
        <v>0</v>
      </c>
      <c r="B48" s="54" cm="1">
        <f t="array" ref="B48">IFERROR(INDEX(B_SHIFT_ESDS,34),"")</f>
        <v>0</v>
      </c>
      <c r="C48" s="54" t="str" cm="1">
        <f t="array" ref="C48">IFERROR(INDEX(D_SHIFT_ESDS,12),"")</f>
        <v>Cierra Chochrek</v>
      </c>
    </row>
    <row r="49" spans="1:3" ht="15.75" customHeight="1" x14ac:dyDescent="0.2">
      <c r="A49" s="54" cm="1">
        <f t="array" ref="A49">IFERROR(INDEX(TRAINEES_ESDS,19),"")</f>
        <v>0</v>
      </c>
      <c r="B49" s="54" cm="1">
        <f t="array" ref="B49">IFERROR(INDEX(B_SHIFT_ESDS,35),"")</f>
        <v>0</v>
      </c>
      <c r="C49" s="54" t="str" cm="1">
        <f t="array" ref="C49">IFERROR(INDEX(D_SHIFT_ESDS,13),"")</f>
        <v>Daniel Gallardo</v>
      </c>
    </row>
    <row r="50" spans="1:3" ht="15.75" customHeight="1" x14ac:dyDescent="0.2">
      <c r="A50" s="54" cm="1">
        <f t="array" ref="A50">IFERROR(INDEX(TRAINEES_ESDS,20),"")</f>
        <v>0</v>
      </c>
      <c r="B50" s="54" cm="1">
        <f t="array" ref="B50">IFERROR(INDEX(B_SHIFT_ESDS,36),"")</f>
        <v>0</v>
      </c>
      <c r="C50" s="54" cm="1">
        <f t="array" ref="C50">IFERROR(INDEX(D_SHIFT_ESDS,14),"")</f>
        <v>0</v>
      </c>
    </row>
    <row r="51" spans="1:3" ht="15.75" customHeight="1" x14ac:dyDescent="0.2">
      <c r="B51" s="54" cm="1">
        <f t="array" ref="B51">IFERROR(INDEX(B_SHIFT_ESDS,37),"")</f>
        <v>0</v>
      </c>
      <c r="C51" s="54" cm="1">
        <f t="array" ref="C51">IFERROR(INDEX(D_SHIFT_ESDS,15),"")</f>
        <v>0</v>
      </c>
    </row>
    <row r="52" spans="1:3" ht="15.75" customHeight="1" x14ac:dyDescent="0.2">
      <c r="B52" s="54" cm="1">
        <f t="array" ref="B52">IFERROR(INDEX(B_SHIFT_ESDS,38),"")</f>
        <v>0</v>
      </c>
      <c r="C52" s="54" cm="1">
        <f t="array" ref="C52">IFERROR(INDEX(D_SHIFT_ESDS,16),"")</f>
        <v>0</v>
      </c>
    </row>
    <row r="53" spans="1:3" ht="15.75" customHeight="1" x14ac:dyDescent="0.2">
      <c r="C53" s="54" cm="1">
        <f t="array" ref="C53">IFERROR(INDEX(D_SHIFT_ESDS,17),"")</f>
        <v>0</v>
      </c>
    </row>
    <row r="54" spans="1:3" ht="15.75" customHeight="1" x14ac:dyDescent="0.2"/>
    <row r="55" spans="1:3" ht="15.75" customHeight="1" x14ac:dyDescent="0.2"/>
    <row r="56" spans="1:3" ht="15.75" customHeight="1" x14ac:dyDescent="0.2"/>
    <row r="57" spans="1:3" ht="15.75" customHeight="1" x14ac:dyDescent="0.2"/>
    <row r="58" spans="1:3" ht="15.75" customHeight="1" x14ac:dyDescent="0.2"/>
    <row r="59" spans="1:3" ht="15.75" customHeight="1" x14ac:dyDescent="0.2"/>
    <row r="60" spans="1:3" ht="15.75" customHeight="1" x14ac:dyDescent="0.2"/>
    <row r="61" spans="1:3" ht="15.75" customHeight="1" x14ac:dyDescent="0.2"/>
    <row r="62" spans="1:3" ht="15.75" customHeight="1" x14ac:dyDescent="0.2"/>
    <row r="63" spans="1:3" ht="15.75" customHeight="1" x14ac:dyDescent="0.2"/>
    <row r="64" spans="1:3" ht="15.75" customHeight="1" x14ac:dyDescent="0.2"/>
    <row r="65" s="57" customFormat="1" ht="15.75" customHeight="1" x14ac:dyDescent="0.2"/>
    <row r="66" s="57" customFormat="1" ht="15.75" customHeight="1" x14ac:dyDescent="0.2"/>
    <row r="67" s="57" customFormat="1" ht="15.75" customHeight="1" x14ac:dyDescent="0.2"/>
    <row r="68" s="57" customFormat="1" ht="15.75" customHeight="1" x14ac:dyDescent="0.2"/>
    <row r="69" s="57" customFormat="1" ht="15.75" customHeight="1" x14ac:dyDescent="0.2"/>
    <row r="70" s="57" customFormat="1" ht="15.75" customHeight="1" x14ac:dyDescent="0.2"/>
    <row r="71" s="57" customFormat="1" ht="15.75" customHeight="1" x14ac:dyDescent="0.2"/>
    <row r="72" s="57" customFormat="1" ht="15.75" customHeight="1" x14ac:dyDescent="0.2"/>
    <row r="73" s="57" customFormat="1" ht="15.75" customHeight="1" x14ac:dyDescent="0.2"/>
    <row r="74" s="57" customFormat="1" ht="15.75" customHeight="1" x14ac:dyDescent="0.2"/>
    <row r="75" s="57" customFormat="1" ht="15.75" customHeight="1" x14ac:dyDescent="0.2"/>
    <row r="76" s="57" customFormat="1" ht="15.75" customHeight="1" x14ac:dyDescent="0.2"/>
    <row r="77" s="57" customFormat="1" ht="15.75" customHeight="1" x14ac:dyDescent="0.2"/>
    <row r="78" s="57" customFormat="1" ht="15.75" customHeight="1" x14ac:dyDescent="0.2"/>
    <row r="79" s="57" customFormat="1" ht="15.75" customHeight="1" x14ac:dyDescent="0.2"/>
    <row r="80" s="57" customFormat="1" ht="15.75" customHeight="1" x14ac:dyDescent="0.2"/>
    <row r="81" s="57" customFormat="1" ht="15.75" customHeight="1" x14ac:dyDescent="0.2"/>
    <row r="82" s="57" customFormat="1" ht="15.75" customHeight="1" x14ac:dyDescent="0.2"/>
    <row r="83" s="57" customFormat="1" ht="15.75" customHeight="1" x14ac:dyDescent="0.2"/>
    <row r="84" s="57" customFormat="1" ht="15.75" customHeight="1" x14ac:dyDescent="0.2"/>
    <row r="85" s="57" customFormat="1" ht="15.75" customHeight="1" x14ac:dyDescent="0.2"/>
    <row r="86" s="57" customFormat="1" ht="15.75" customHeight="1" x14ac:dyDescent="0.2"/>
    <row r="87" s="57" customFormat="1" ht="15.75" customHeight="1" x14ac:dyDescent="0.2"/>
    <row r="88" s="57" customFormat="1" ht="15.75" customHeight="1" x14ac:dyDescent="0.2"/>
    <row r="89" s="57" customFormat="1" ht="15.75" customHeight="1" x14ac:dyDescent="0.2"/>
    <row r="90" s="57" customFormat="1" ht="15.75" customHeight="1" x14ac:dyDescent="0.2"/>
    <row r="91" s="57" customFormat="1" ht="15.75" customHeight="1" x14ac:dyDescent="0.2"/>
    <row r="92" s="57" customFormat="1" ht="15.75" customHeight="1" x14ac:dyDescent="0.2"/>
    <row r="93" s="57" customFormat="1" ht="15.75" customHeight="1" x14ac:dyDescent="0.2"/>
    <row r="94" s="57" customFormat="1" ht="15.75" customHeight="1" x14ac:dyDescent="0.2"/>
    <row r="95" s="57" customFormat="1" ht="15.75" customHeight="1" x14ac:dyDescent="0.2"/>
    <row r="96" s="57" customFormat="1" ht="15.75" customHeight="1" x14ac:dyDescent="0.2"/>
    <row r="97" s="57" customFormat="1" ht="15.75" customHeight="1" x14ac:dyDescent="0.2"/>
    <row r="98" s="57" customFormat="1" ht="15.75" customHeight="1" x14ac:dyDescent="0.2"/>
    <row r="99" s="57" customFormat="1" ht="15.75" customHeight="1" x14ac:dyDescent="0.2"/>
    <row r="100" s="57" customFormat="1" ht="15.75" customHeight="1" x14ac:dyDescent="0.2"/>
    <row r="101" s="57" customFormat="1" ht="15.75" customHeight="1" x14ac:dyDescent="0.2"/>
    <row r="102" s="57" customFormat="1" ht="15.75" customHeight="1" x14ac:dyDescent="0.2"/>
    <row r="103" s="57" customFormat="1" ht="15.75" customHeight="1" x14ac:dyDescent="0.2"/>
    <row r="104" s="57" customFormat="1" ht="15.75" customHeight="1" x14ac:dyDescent="0.2"/>
    <row r="105" s="57" customFormat="1" ht="15.75" customHeight="1" x14ac:dyDescent="0.2"/>
    <row r="106" s="57" customFormat="1" ht="15.75" customHeight="1" x14ac:dyDescent="0.2"/>
    <row r="107" s="57" customFormat="1" ht="15.75" customHeight="1" x14ac:dyDescent="0.2"/>
    <row r="108" s="57" customFormat="1" ht="15.75" customHeight="1" x14ac:dyDescent="0.2"/>
    <row r="109" s="57" customFormat="1" ht="15.75" customHeight="1" x14ac:dyDescent="0.2"/>
    <row r="110" s="57" customFormat="1" ht="15.75" customHeight="1" x14ac:dyDescent="0.2"/>
    <row r="111" s="57" customFormat="1" ht="15.75" customHeight="1" x14ac:dyDescent="0.2"/>
    <row r="112" s="57" customFormat="1" ht="15.75" customHeight="1" x14ac:dyDescent="0.2"/>
    <row r="113" s="57" customFormat="1" ht="15.75" customHeight="1" x14ac:dyDescent="0.2"/>
    <row r="114" s="57" customFormat="1" ht="15.75" customHeight="1" x14ac:dyDescent="0.2"/>
    <row r="115" s="57" customFormat="1" ht="15.75" customHeight="1" x14ac:dyDescent="0.2"/>
    <row r="116" s="57" customFormat="1" ht="15.75" customHeight="1" x14ac:dyDescent="0.2"/>
    <row r="117" s="57" customFormat="1" ht="15.75" customHeight="1" x14ac:dyDescent="0.2"/>
    <row r="118" s="57" customFormat="1" ht="15.75" customHeight="1" x14ac:dyDescent="0.2"/>
    <row r="119" s="57" customFormat="1" ht="15.75" customHeight="1" x14ac:dyDescent="0.2"/>
    <row r="120" s="57" customFormat="1" ht="15.75" customHeight="1" x14ac:dyDescent="0.2"/>
    <row r="121" s="57" customFormat="1" ht="15.75" customHeight="1" x14ac:dyDescent="0.2"/>
    <row r="122" s="57" customFormat="1" ht="15.75" customHeight="1" x14ac:dyDescent="0.2"/>
    <row r="123" s="57" customFormat="1" ht="15.75" customHeight="1" x14ac:dyDescent="0.2"/>
    <row r="124" s="57" customFormat="1" ht="15.75" customHeight="1" x14ac:dyDescent="0.2"/>
    <row r="125" s="57" customFormat="1" ht="15.75" customHeight="1" x14ac:dyDescent="0.2"/>
    <row r="126" s="57" customFormat="1" ht="15.75" customHeight="1" x14ac:dyDescent="0.2"/>
    <row r="127" s="57" customFormat="1" ht="15.75" customHeight="1" x14ac:dyDescent="0.2"/>
    <row r="128" s="57" customFormat="1" ht="15.75" customHeight="1" x14ac:dyDescent="0.2"/>
    <row r="129" s="57" customFormat="1" ht="15.75" customHeight="1" x14ac:dyDescent="0.2"/>
    <row r="130" s="57" customFormat="1" ht="15.75" customHeight="1" x14ac:dyDescent="0.2"/>
    <row r="131" s="57" customFormat="1" ht="15.75" customHeight="1" x14ac:dyDescent="0.2"/>
    <row r="132" s="57" customFormat="1" ht="15.75" customHeight="1" x14ac:dyDescent="0.2"/>
    <row r="133" s="57" customFormat="1" ht="15.75" customHeight="1" x14ac:dyDescent="0.2"/>
    <row r="134" s="57" customFormat="1" ht="15.75" customHeight="1" x14ac:dyDescent="0.2"/>
    <row r="135" s="57" customFormat="1" ht="15.75" customHeight="1" x14ac:dyDescent="0.2"/>
    <row r="136" s="57" customFormat="1" ht="15.75" customHeight="1" x14ac:dyDescent="0.2"/>
    <row r="137" s="57" customFormat="1" ht="15.75" customHeight="1" x14ac:dyDescent="0.2"/>
    <row r="138" s="57" customFormat="1" ht="15.75" customHeight="1" x14ac:dyDescent="0.2"/>
    <row r="139" s="57" customFormat="1" ht="15.75" customHeight="1" x14ac:dyDescent="0.2"/>
    <row r="140" s="57" customFormat="1" ht="15.75" customHeight="1" x14ac:dyDescent="0.2"/>
    <row r="141" s="57" customFormat="1" ht="15.75" customHeight="1" x14ac:dyDescent="0.2"/>
    <row r="142" s="57" customFormat="1" ht="15.75" customHeight="1" x14ac:dyDescent="0.2"/>
    <row r="143" s="57" customFormat="1" ht="15.75" customHeight="1" x14ac:dyDescent="0.2"/>
    <row r="144" s="57" customFormat="1" ht="15.75" customHeight="1" x14ac:dyDescent="0.2"/>
    <row r="145" s="57" customFormat="1" ht="15.75" customHeight="1" x14ac:dyDescent="0.2"/>
    <row r="146" s="57" customFormat="1" ht="15.75" customHeight="1" x14ac:dyDescent="0.2"/>
    <row r="147" s="57" customFormat="1" ht="15.75" customHeight="1" x14ac:dyDescent="0.2"/>
    <row r="148" s="57" customFormat="1" ht="15.75" customHeight="1" x14ac:dyDescent="0.2"/>
    <row r="149" s="57" customFormat="1" ht="15.75" customHeight="1" x14ac:dyDescent="0.2"/>
    <row r="150" s="57" customFormat="1" ht="15.75" customHeight="1" x14ac:dyDescent="0.2"/>
    <row r="151" s="57" customFormat="1" ht="15.75" customHeight="1" x14ac:dyDescent="0.2"/>
    <row r="152" s="57" customFormat="1" ht="15.75" customHeight="1" x14ac:dyDescent="0.2"/>
    <row r="153" s="57" customFormat="1" ht="15.75" customHeight="1" x14ac:dyDescent="0.2"/>
    <row r="154" s="57" customFormat="1" ht="15.75" customHeight="1" x14ac:dyDescent="0.2"/>
    <row r="155" s="57" customFormat="1" ht="15.75" customHeight="1" x14ac:dyDescent="0.2"/>
    <row r="156" s="57" customFormat="1" ht="15.75" customHeight="1" x14ac:dyDescent="0.2"/>
    <row r="157" s="57" customFormat="1" ht="15.75" customHeight="1" x14ac:dyDescent="0.2"/>
    <row r="158" s="57" customFormat="1" ht="15.75" customHeight="1" x14ac:dyDescent="0.2"/>
    <row r="159" s="57" customFormat="1" ht="15.75" customHeight="1" x14ac:dyDescent="0.2"/>
    <row r="160" s="57" customFormat="1" ht="15.75" customHeight="1" x14ac:dyDescent="0.2"/>
    <row r="161" s="57" customFormat="1" ht="15.75" customHeight="1" x14ac:dyDescent="0.2"/>
    <row r="162" s="57" customFormat="1" ht="15.75" customHeight="1" x14ac:dyDescent="0.2"/>
    <row r="163" s="57" customFormat="1" ht="15.75" customHeight="1" x14ac:dyDescent="0.2"/>
    <row r="164" s="57" customFormat="1" ht="15.75" customHeight="1" x14ac:dyDescent="0.2"/>
    <row r="165" s="57" customFormat="1" ht="15.75" customHeight="1" x14ac:dyDescent="0.2"/>
    <row r="166" s="57" customFormat="1" ht="15.75" customHeight="1" x14ac:dyDescent="0.2"/>
    <row r="167" s="57" customFormat="1" ht="15.75" customHeight="1" x14ac:dyDescent="0.2"/>
    <row r="168" s="57" customFormat="1" ht="15.75" customHeight="1" x14ac:dyDescent="0.2"/>
    <row r="169" s="57" customFormat="1" ht="15.75" customHeight="1" x14ac:dyDescent="0.2"/>
    <row r="170" s="57" customFormat="1" ht="15.75" customHeight="1" x14ac:dyDescent="0.2"/>
    <row r="171" s="57" customFormat="1" ht="15.75" customHeight="1" x14ac:dyDescent="0.2"/>
    <row r="172" s="57" customFormat="1" ht="15.75" customHeight="1" x14ac:dyDescent="0.2"/>
    <row r="173" s="57" customFormat="1" ht="15.75" customHeight="1" x14ac:dyDescent="0.2"/>
    <row r="174" s="57" customFormat="1" ht="15.75" customHeight="1" x14ac:dyDescent="0.2"/>
    <row r="175" s="57" customFormat="1" ht="15.75" customHeight="1" x14ac:dyDescent="0.2"/>
    <row r="176" s="57" customFormat="1" ht="15.75" customHeight="1" x14ac:dyDescent="0.2"/>
    <row r="177" s="57" customFormat="1" ht="15.75" customHeight="1" x14ac:dyDescent="0.2"/>
    <row r="178" s="57" customFormat="1" ht="15.75" customHeight="1" x14ac:dyDescent="0.2"/>
    <row r="179" s="57" customFormat="1" ht="15.75" customHeight="1" x14ac:dyDescent="0.2"/>
    <row r="180" s="57" customFormat="1" ht="15.75" customHeight="1" x14ac:dyDescent="0.2"/>
    <row r="181" s="57" customFormat="1" ht="15.75" customHeight="1" x14ac:dyDescent="0.2"/>
    <row r="182" s="57" customFormat="1" ht="15.75" customHeight="1" x14ac:dyDescent="0.2"/>
    <row r="183" s="57" customFormat="1" ht="15.75" customHeight="1" x14ac:dyDescent="0.2"/>
    <row r="184" s="57" customFormat="1" ht="15.75" customHeight="1" x14ac:dyDescent="0.2"/>
    <row r="185" s="57" customFormat="1" ht="15.75" customHeight="1" x14ac:dyDescent="0.2"/>
    <row r="186" s="57" customFormat="1" ht="15.75" customHeight="1" x14ac:dyDescent="0.2"/>
    <row r="187" s="57" customFormat="1" ht="15.75" customHeight="1" x14ac:dyDescent="0.2"/>
    <row r="188" s="57" customFormat="1" ht="15.75" customHeight="1" x14ac:dyDescent="0.2"/>
    <row r="189" s="57" customFormat="1" ht="15.75" customHeight="1" x14ac:dyDescent="0.2"/>
    <row r="190" s="57" customFormat="1" ht="15.75" customHeight="1" x14ac:dyDescent="0.2"/>
    <row r="191" s="57" customFormat="1" ht="15.75" customHeight="1" x14ac:dyDescent="0.2"/>
    <row r="192" s="57" customFormat="1" ht="15.75" customHeight="1" x14ac:dyDescent="0.2"/>
    <row r="193" s="57" customFormat="1" ht="15.75" customHeight="1" x14ac:dyDescent="0.2"/>
    <row r="194" s="57" customFormat="1" ht="15.75" customHeight="1" x14ac:dyDescent="0.2"/>
    <row r="195" s="57" customFormat="1" ht="15.75" customHeight="1" x14ac:dyDescent="0.2"/>
    <row r="196" s="57" customFormat="1" ht="15.75" customHeight="1" x14ac:dyDescent="0.2"/>
    <row r="197" s="57" customFormat="1" ht="15.75" customHeight="1" x14ac:dyDescent="0.2"/>
    <row r="198" s="57" customFormat="1" ht="15.75" customHeight="1" x14ac:dyDescent="0.2"/>
    <row r="199" s="57" customFormat="1" ht="15.75" customHeight="1" x14ac:dyDescent="0.2"/>
    <row r="200" s="57" customFormat="1" ht="15.75" customHeight="1" x14ac:dyDescent="0.2"/>
    <row r="201" s="57" customFormat="1" ht="15.75" customHeight="1" x14ac:dyDescent="0.2"/>
    <row r="202" s="57" customFormat="1" ht="15.75" customHeight="1" x14ac:dyDescent="0.2"/>
    <row r="203" s="57" customFormat="1" ht="15.75" customHeight="1" x14ac:dyDescent="0.2"/>
    <row r="204" s="57" customFormat="1" ht="15.75" customHeight="1" x14ac:dyDescent="0.2"/>
    <row r="205" s="57" customFormat="1" ht="15.75" customHeight="1" x14ac:dyDescent="0.2"/>
    <row r="206" s="57" customFormat="1" ht="15.75" customHeight="1" x14ac:dyDescent="0.2"/>
    <row r="207" s="57" customFormat="1" ht="15.75" customHeight="1" x14ac:dyDescent="0.2"/>
    <row r="208" s="57" customFormat="1" ht="15.75" customHeight="1" x14ac:dyDescent="0.2"/>
    <row r="209" s="57" customFormat="1" ht="15.75" customHeight="1" x14ac:dyDescent="0.2"/>
    <row r="210" s="57" customFormat="1" ht="15.75" customHeight="1" x14ac:dyDescent="0.2"/>
    <row r="211" s="57" customFormat="1" ht="15.75" customHeight="1" x14ac:dyDescent="0.2"/>
    <row r="212" s="57" customFormat="1" ht="15.75" customHeight="1" x14ac:dyDescent="0.2"/>
    <row r="213" s="57" customFormat="1" ht="15.75" customHeight="1" x14ac:dyDescent="0.2"/>
    <row r="214" s="57" customFormat="1" ht="15.75" customHeight="1" x14ac:dyDescent="0.2"/>
    <row r="215" s="57" customFormat="1" ht="15.75" customHeight="1" x14ac:dyDescent="0.2"/>
    <row r="216" s="57" customFormat="1" ht="15.75" customHeight="1" x14ac:dyDescent="0.2"/>
    <row r="217" s="57" customFormat="1" ht="15.75" customHeight="1" x14ac:dyDescent="0.2"/>
    <row r="218" s="57" customFormat="1" ht="15.75" customHeight="1" x14ac:dyDescent="0.2"/>
    <row r="219" s="57" customFormat="1" ht="15.75" customHeight="1" x14ac:dyDescent="0.2"/>
    <row r="220" s="57" customFormat="1" ht="15.75" customHeight="1" x14ac:dyDescent="0.2"/>
    <row r="221" s="57" customFormat="1" ht="15.75" customHeight="1" x14ac:dyDescent="0.2"/>
    <row r="222" s="57" customFormat="1" ht="15.75" customHeight="1" x14ac:dyDescent="0.2"/>
    <row r="223" s="57" customFormat="1" ht="15.75" customHeight="1" x14ac:dyDescent="0.2"/>
    <row r="224" s="57" customFormat="1" ht="15.75" customHeight="1" x14ac:dyDescent="0.2"/>
    <row r="225" s="57" customFormat="1" ht="15.75" customHeight="1" x14ac:dyDescent="0.2"/>
    <row r="226" s="57" customFormat="1" ht="15.75" customHeight="1" x14ac:dyDescent="0.2"/>
    <row r="227" s="57" customFormat="1" ht="15.75" customHeight="1" x14ac:dyDescent="0.2"/>
    <row r="228" s="57" customFormat="1" ht="15.75" customHeight="1" x14ac:dyDescent="0.2"/>
    <row r="229" s="57" customFormat="1" ht="15.75" customHeight="1" x14ac:dyDescent="0.2"/>
    <row r="230" s="57" customFormat="1" ht="15.75" customHeight="1" x14ac:dyDescent="0.2"/>
    <row r="231" s="57" customFormat="1" ht="15.75" customHeight="1" x14ac:dyDescent="0.2"/>
    <row r="232" s="57" customFormat="1" ht="15.75" customHeight="1" x14ac:dyDescent="0.2"/>
    <row r="233" s="57" customFormat="1" ht="15.75" customHeight="1" x14ac:dyDescent="0.2"/>
    <row r="234" s="57" customFormat="1" ht="15.75" customHeight="1" x14ac:dyDescent="0.2"/>
    <row r="235" s="57" customFormat="1" ht="15.75" customHeight="1" x14ac:dyDescent="0.2"/>
    <row r="236" s="57" customFormat="1" ht="15.75" customHeight="1" x14ac:dyDescent="0.2"/>
    <row r="237" s="57" customFormat="1" ht="15.75" customHeight="1" x14ac:dyDescent="0.2"/>
    <row r="238" s="57" customFormat="1" ht="15.75" customHeight="1" x14ac:dyDescent="0.2"/>
    <row r="239" s="57" customFormat="1" ht="15.75" customHeight="1" x14ac:dyDescent="0.2"/>
    <row r="240" s="57" customFormat="1" ht="15.75" customHeight="1" x14ac:dyDescent="0.2"/>
    <row r="241" s="57" customFormat="1" ht="15.75" customHeight="1" x14ac:dyDescent="0.2"/>
    <row r="242" s="57" customFormat="1" ht="15.75" customHeight="1" x14ac:dyDescent="0.2"/>
    <row r="243" s="57" customFormat="1" ht="15.75" customHeight="1" x14ac:dyDescent="0.2"/>
    <row r="244" s="57" customFormat="1" ht="15.75" customHeight="1" x14ac:dyDescent="0.2"/>
    <row r="245" s="57" customFormat="1" ht="15.75" customHeight="1" x14ac:dyDescent="0.2"/>
    <row r="246" s="57" customFormat="1" ht="15.75" customHeight="1" x14ac:dyDescent="0.2"/>
    <row r="247" s="57" customFormat="1" ht="15.75" customHeight="1" x14ac:dyDescent="0.2"/>
    <row r="248" s="57" customFormat="1" ht="15.75" customHeight="1" x14ac:dyDescent="0.2"/>
    <row r="249" s="57" customFormat="1" ht="15.75" customHeight="1" x14ac:dyDescent="0.2"/>
    <row r="250" s="57" customFormat="1" ht="15.75" customHeight="1" x14ac:dyDescent="0.2"/>
    <row r="251" s="57" customFormat="1" ht="15.75" customHeight="1" x14ac:dyDescent="0.2"/>
    <row r="252" s="57" customFormat="1" ht="15.75" customHeight="1" x14ac:dyDescent="0.2"/>
    <row r="253" s="57" customFormat="1" ht="15.75" customHeight="1" x14ac:dyDescent="0.2"/>
    <row r="254" s="57" customFormat="1" ht="15.75" customHeight="1" x14ac:dyDescent="0.2"/>
    <row r="255" s="57" customFormat="1" ht="15.75" customHeight="1" x14ac:dyDescent="0.2"/>
    <row r="256" s="57" customFormat="1" ht="15.75" customHeight="1" x14ac:dyDescent="0.2"/>
    <row r="257" s="57" customFormat="1" ht="15.75" customHeight="1" x14ac:dyDescent="0.2"/>
    <row r="258" s="57" customFormat="1" ht="15.75" customHeight="1" x14ac:dyDescent="0.2"/>
    <row r="259" s="57" customFormat="1" ht="15.75" customHeight="1" x14ac:dyDescent="0.2"/>
    <row r="260" s="57" customFormat="1" ht="15.75" customHeight="1" x14ac:dyDescent="0.2"/>
    <row r="261" s="57" customFormat="1" ht="15.75" customHeight="1" x14ac:dyDescent="0.2"/>
    <row r="262" s="57" customFormat="1" ht="15.75" customHeight="1" x14ac:dyDescent="0.2"/>
    <row r="263" s="57" customFormat="1" ht="15.75" customHeight="1" x14ac:dyDescent="0.2"/>
    <row r="264" s="57" customFormat="1" ht="15.75" customHeight="1" x14ac:dyDescent="0.2"/>
    <row r="265" s="57" customFormat="1" ht="15.75" customHeight="1" x14ac:dyDescent="0.2"/>
    <row r="266" s="57" customFormat="1" ht="15.75" customHeight="1" x14ac:dyDescent="0.2"/>
    <row r="267" s="57" customFormat="1" ht="15.75" customHeight="1" x14ac:dyDescent="0.2"/>
    <row r="268" s="57" customFormat="1" ht="15.75" customHeight="1" x14ac:dyDescent="0.2"/>
    <row r="269" s="57" customFormat="1" ht="15.75" customHeight="1" x14ac:dyDescent="0.2"/>
    <row r="270" s="57" customFormat="1" ht="15.75" customHeight="1" x14ac:dyDescent="0.2"/>
    <row r="271" s="57" customFormat="1" ht="15.75" customHeight="1" x14ac:dyDescent="0.2"/>
    <row r="272" s="57" customFormat="1" ht="15.75" customHeight="1" x14ac:dyDescent="0.2"/>
    <row r="273" s="57" customFormat="1" ht="15.75" customHeight="1" x14ac:dyDescent="0.2"/>
    <row r="274" s="57" customFormat="1" ht="15.75" customHeight="1" x14ac:dyDescent="0.2"/>
    <row r="275" s="57" customFormat="1" ht="15.75" customHeight="1" x14ac:dyDescent="0.2"/>
    <row r="276" s="57" customFormat="1" ht="15.75" customHeight="1" x14ac:dyDescent="0.2"/>
    <row r="277" s="57" customFormat="1" ht="15.75" customHeight="1" x14ac:dyDescent="0.2"/>
    <row r="278" s="57" customFormat="1" ht="15.75" customHeight="1" x14ac:dyDescent="0.2"/>
    <row r="279" s="57" customFormat="1" ht="15.75" customHeight="1" x14ac:dyDescent="0.2"/>
    <row r="280" s="57" customFormat="1" ht="15.75" customHeight="1" x14ac:dyDescent="0.2"/>
    <row r="281" s="57" customFormat="1" ht="15.75" customHeight="1" x14ac:dyDescent="0.2"/>
    <row r="282" s="57" customFormat="1" ht="15.75" customHeight="1" x14ac:dyDescent="0.2"/>
    <row r="283" s="57" customFormat="1" ht="15.75" customHeight="1" x14ac:dyDescent="0.2"/>
    <row r="284" s="57" customFormat="1" ht="15.75" customHeight="1" x14ac:dyDescent="0.2"/>
    <row r="285" s="57" customFormat="1" ht="15.75" customHeight="1" x14ac:dyDescent="0.2"/>
    <row r="286" s="57" customFormat="1" ht="15.75" customHeight="1" x14ac:dyDescent="0.2"/>
    <row r="287" s="57" customFormat="1" ht="15.75" customHeight="1" x14ac:dyDescent="0.2"/>
    <row r="288" s="57" customFormat="1" ht="15.75" customHeight="1" x14ac:dyDescent="0.2"/>
    <row r="289" s="57" customFormat="1" ht="15.75" customHeight="1" x14ac:dyDescent="0.2"/>
    <row r="290" s="57" customFormat="1" ht="15.75" customHeight="1" x14ac:dyDescent="0.2"/>
    <row r="291" s="57" customFormat="1" ht="15.75" customHeight="1" x14ac:dyDescent="0.2"/>
    <row r="292" s="57" customFormat="1" ht="15.75" customHeight="1" x14ac:dyDescent="0.2"/>
    <row r="293" s="57" customFormat="1" ht="15.75" customHeight="1" x14ac:dyDescent="0.2"/>
    <row r="294" s="57" customFormat="1" ht="15.75" customHeight="1" x14ac:dyDescent="0.2"/>
    <row r="295" s="57" customFormat="1" ht="15.75" customHeight="1" x14ac:dyDescent="0.2"/>
    <row r="296" s="57" customFormat="1" ht="15.75" customHeight="1" x14ac:dyDescent="0.2"/>
    <row r="297" s="57" customFormat="1" ht="15.75" customHeight="1" x14ac:dyDescent="0.2"/>
    <row r="298" s="57" customFormat="1" ht="15.75" customHeight="1" x14ac:dyDescent="0.2"/>
    <row r="299" s="57" customFormat="1" ht="15.75" customHeight="1" x14ac:dyDescent="0.2"/>
    <row r="300" s="57" customFormat="1" ht="15.75" customHeight="1" x14ac:dyDescent="0.2"/>
    <row r="301" s="57" customFormat="1" ht="15.75" customHeight="1" x14ac:dyDescent="0.2"/>
    <row r="302" s="57" customFormat="1" ht="15.75" customHeight="1" x14ac:dyDescent="0.2"/>
    <row r="303" s="57" customFormat="1" ht="15.75" customHeight="1" x14ac:dyDescent="0.2"/>
    <row r="304" s="57" customFormat="1" ht="15.75" customHeight="1" x14ac:dyDescent="0.2"/>
    <row r="305" s="57" customFormat="1" ht="15.75" customHeight="1" x14ac:dyDescent="0.2"/>
    <row r="306" s="57" customFormat="1" ht="15.75" customHeight="1" x14ac:dyDescent="0.2"/>
    <row r="307" s="57" customFormat="1" ht="15.75" customHeight="1" x14ac:dyDescent="0.2"/>
    <row r="308" s="57" customFormat="1" ht="15.75" customHeight="1" x14ac:dyDescent="0.2"/>
    <row r="309" s="57" customFormat="1" ht="15.75" customHeight="1" x14ac:dyDescent="0.2"/>
    <row r="310" s="57" customFormat="1" ht="15.75" customHeight="1" x14ac:dyDescent="0.2"/>
    <row r="311" s="57" customFormat="1" ht="15.75" customHeight="1" x14ac:dyDescent="0.2"/>
    <row r="312" s="57" customFormat="1" ht="15.75" customHeight="1" x14ac:dyDescent="0.2"/>
    <row r="313" s="57" customFormat="1" ht="15.75" customHeight="1" x14ac:dyDescent="0.2"/>
    <row r="314" s="57" customFormat="1" ht="15.75" customHeight="1" x14ac:dyDescent="0.2"/>
    <row r="315" s="57" customFormat="1" ht="15.75" customHeight="1" x14ac:dyDescent="0.2"/>
    <row r="316" s="57" customFormat="1" ht="15.75" customHeight="1" x14ac:dyDescent="0.2"/>
    <row r="317" s="57" customFormat="1" ht="15.75" customHeight="1" x14ac:dyDescent="0.2"/>
    <row r="318" s="57" customFormat="1" ht="15.75" customHeight="1" x14ac:dyDescent="0.2"/>
    <row r="319" s="57" customFormat="1" ht="15.75" customHeight="1" x14ac:dyDescent="0.2"/>
    <row r="320" s="57" customFormat="1" ht="15.75" customHeight="1" x14ac:dyDescent="0.2"/>
    <row r="321" s="57" customFormat="1" ht="15.75" customHeight="1" x14ac:dyDescent="0.2"/>
    <row r="322" s="57" customFormat="1" ht="15.75" customHeight="1" x14ac:dyDescent="0.2"/>
    <row r="323" s="57" customFormat="1" ht="15.75" customHeight="1" x14ac:dyDescent="0.2"/>
    <row r="324" s="57" customFormat="1" ht="15.75" customHeight="1" x14ac:dyDescent="0.2"/>
    <row r="325" s="57" customFormat="1" ht="15.75" customHeight="1" x14ac:dyDescent="0.2"/>
    <row r="326" s="57" customFormat="1" ht="15.75" customHeight="1" x14ac:dyDescent="0.2"/>
    <row r="327" s="57" customFormat="1" ht="15.75" customHeight="1" x14ac:dyDescent="0.2"/>
    <row r="328" s="57" customFormat="1" ht="15.75" customHeight="1" x14ac:dyDescent="0.2"/>
    <row r="329" s="57" customFormat="1" ht="15.75" customHeight="1" x14ac:dyDescent="0.2"/>
    <row r="330" s="57" customFormat="1" ht="15.75" customHeight="1" x14ac:dyDescent="0.2"/>
    <row r="331" s="57" customFormat="1" ht="15.75" customHeight="1" x14ac:dyDescent="0.2"/>
    <row r="332" s="57" customFormat="1" ht="15.75" customHeight="1" x14ac:dyDescent="0.2"/>
    <row r="333" s="57" customFormat="1" ht="15.75" customHeight="1" x14ac:dyDescent="0.2"/>
    <row r="334" s="57" customFormat="1" ht="15.75" customHeight="1" x14ac:dyDescent="0.2"/>
    <row r="335" s="57" customFormat="1" ht="15.75" customHeight="1" x14ac:dyDescent="0.2"/>
    <row r="336" s="57" customFormat="1" ht="15.75" customHeight="1" x14ac:dyDescent="0.2"/>
    <row r="337" s="57" customFormat="1" ht="15.75" customHeight="1" x14ac:dyDescent="0.2"/>
    <row r="338" s="57" customFormat="1" ht="15.75" customHeight="1" x14ac:dyDescent="0.2"/>
    <row r="339" s="57" customFormat="1" ht="15.75" customHeight="1" x14ac:dyDescent="0.2"/>
    <row r="340" s="57" customFormat="1" ht="15.75" customHeight="1" x14ac:dyDescent="0.2"/>
    <row r="341" s="57" customFormat="1" ht="15.75" customHeight="1" x14ac:dyDescent="0.2"/>
    <row r="342" s="57" customFormat="1" ht="15.75" customHeight="1" x14ac:dyDescent="0.2"/>
    <row r="343" s="57" customFormat="1" ht="15.75" customHeight="1" x14ac:dyDescent="0.2"/>
    <row r="344" s="57" customFormat="1" ht="15.75" customHeight="1" x14ac:dyDescent="0.2"/>
    <row r="345" s="57" customFormat="1" ht="15.75" customHeight="1" x14ac:dyDescent="0.2"/>
    <row r="346" s="57" customFormat="1" ht="15.75" customHeight="1" x14ac:dyDescent="0.2"/>
    <row r="347" s="57" customFormat="1" ht="15.75" customHeight="1" x14ac:dyDescent="0.2"/>
    <row r="348" s="57" customFormat="1" ht="15.75" customHeight="1" x14ac:dyDescent="0.2"/>
    <row r="349" s="57" customFormat="1" ht="15.75" customHeight="1" x14ac:dyDescent="0.2"/>
    <row r="350" s="57" customFormat="1" ht="15.75" customHeight="1" x14ac:dyDescent="0.2"/>
    <row r="351" s="57" customFormat="1" ht="15.75" customHeight="1" x14ac:dyDescent="0.2"/>
    <row r="352" s="57" customFormat="1" ht="15.75" customHeight="1" x14ac:dyDescent="0.2"/>
    <row r="353" s="57" customFormat="1" ht="15.75" customHeight="1" x14ac:dyDescent="0.2"/>
    <row r="354" s="57" customFormat="1" ht="15.75" customHeight="1" x14ac:dyDescent="0.2"/>
    <row r="355" s="57" customFormat="1" ht="15.75" customHeight="1" x14ac:dyDescent="0.2"/>
    <row r="356" s="57" customFormat="1" ht="15.75" customHeight="1" x14ac:dyDescent="0.2"/>
    <row r="357" s="57" customFormat="1" ht="15.75" customHeight="1" x14ac:dyDescent="0.2"/>
    <row r="358" s="57" customFormat="1" ht="15.75" customHeight="1" x14ac:dyDescent="0.2"/>
    <row r="359" s="57" customFormat="1" ht="15.75" customHeight="1" x14ac:dyDescent="0.2"/>
    <row r="360" s="57" customFormat="1" ht="15.75" customHeight="1" x14ac:dyDescent="0.2"/>
    <row r="361" s="57" customFormat="1" ht="15.75" customHeight="1" x14ac:dyDescent="0.2"/>
    <row r="362" s="57" customFormat="1" ht="15.75" customHeight="1" x14ac:dyDescent="0.2"/>
    <row r="363" s="57" customFormat="1" ht="15.75" customHeight="1" x14ac:dyDescent="0.2"/>
    <row r="364" s="57" customFormat="1" ht="15.75" customHeight="1" x14ac:dyDescent="0.2"/>
    <row r="365" s="57" customFormat="1" ht="15.75" customHeight="1" x14ac:dyDescent="0.2"/>
    <row r="366" s="57" customFormat="1" ht="15.75" customHeight="1" x14ac:dyDescent="0.2"/>
    <row r="367" s="57" customFormat="1" ht="15.75" customHeight="1" x14ac:dyDescent="0.2"/>
    <row r="368" s="57" customFormat="1" ht="15.75" customHeight="1" x14ac:dyDescent="0.2"/>
    <row r="369" s="57" customFormat="1" ht="15.75" customHeight="1" x14ac:dyDescent="0.2"/>
    <row r="370" s="57" customFormat="1" ht="15.75" customHeight="1" x14ac:dyDescent="0.2"/>
    <row r="371" s="57" customFormat="1" ht="15.75" customHeight="1" x14ac:dyDescent="0.2"/>
    <row r="372" s="57" customFormat="1" ht="15.75" customHeight="1" x14ac:dyDescent="0.2"/>
    <row r="373" s="57" customFormat="1" ht="15.75" customHeight="1" x14ac:dyDescent="0.2"/>
    <row r="374" s="57" customFormat="1" ht="15.75" customHeight="1" x14ac:dyDescent="0.2"/>
    <row r="375" s="57" customFormat="1" ht="15.75" customHeight="1" x14ac:dyDescent="0.2"/>
    <row r="376" s="57" customFormat="1" ht="15.75" customHeight="1" x14ac:dyDescent="0.2"/>
    <row r="377" s="57" customFormat="1" ht="15.75" customHeight="1" x14ac:dyDescent="0.2"/>
    <row r="378" s="57" customFormat="1" ht="15.75" customHeight="1" x14ac:dyDescent="0.2"/>
    <row r="379" s="57" customFormat="1" ht="15.75" customHeight="1" x14ac:dyDescent="0.2"/>
    <row r="380" s="57" customFormat="1" ht="15.75" customHeight="1" x14ac:dyDescent="0.2"/>
    <row r="381" s="57" customFormat="1" ht="15.75" customHeight="1" x14ac:dyDescent="0.2"/>
    <row r="382" s="57" customFormat="1" ht="15.75" customHeight="1" x14ac:dyDescent="0.2"/>
    <row r="383" s="57" customFormat="1" ht="15.75" customHeight="1" x14ac:dyDescent="0.2"/>
    <row r="384" s="57" customFormat="1" ht="15.75" customHeight="1" x14ac:dyDescent="0.2"/>
    <row r="385" s="57" customFormat="1" ht="15.75" customHeight="1" x14ac:dyDescent="0.2"/>
    <row r="386" s="57" customFormat="1" ht="15.75" customHeight="1" x14ac:dyDescent="0.2"/>
    <row r="387" s="57" customFormat="1" ht="15.75" customHeight="1" x14ac:dyDescent="0.2"/>
    <row r="388" s="57" customFormat="1" ht="15.75" customHeight="1" x14ac:dyDescent="0.2"/>
    <row r="389" s="57" customFormat="1" ht="15.75" customHeight="1" x14ac:dyDescent="0.2"/>
    <row r="390" s="57" customFormat="1" ht="15.75" customHeight="1" x14ac:dyDescent="0.2"/>
    <row r="391" s="57" customFormat="1" ht="15.75" customHeight="1" x14ac:dyDescent="0.2"/>
    <row r="392" s="57" customFormat="1" ht="15.75" customHeight="1" x14ac:dyDescent="0.2"/>
    <row r="393" s="57" customFormat="1" ht="15.75" customHeight="1" x14ac:dyDescent="0.2"/>
    <row r="394" s="57" customFormat="1" ht="15.75" customHeight="1" x14ac:dyDescent="0.2"/>
    <row r="395" s="57" customFormat="1" ht="15.75" customHeight="1" x14ac:dyDescent="0.2"/>
    <row r="396" s="57" customFormat="1" ht="15.75" customHeight="1" x14ac:dyDescent="0.2"/>
    <row r="397" s="57" customFormat="1" ht="15.75" customHeight="1" x14ac:dyDescent="0.2"/>
    <row r="398" s="57" customFormat="1" ht="15.75" customHeight="1" x14ac:dyDescent="0.2"/>
    <row r="399" s="57" customFormat="1" ht="15.75" customHeight="1" x14ac:dyDescent="0.2"/>
    <row r="400" s="57" customFormat="1" ht="15.75" customHeight="1" x14ac:dyDescent="0.2"/>
    <row r="401" s="57" customFormat="1" ht="15.75" customHeight="1" x14ac:dyDescent="0.2"/>
    <row r="402" s="57" customFormat="1" ht="15.75" customHeight="1" x14ac:dyDescent="0.2"/>
    <row r="403" s="57" customFormat="1" ht="15.75" customHeight="1" x14ac:dyDescent="0.2"/>
    <row r="404" s="57" customFormat="1" ht="15.75" customHeight="1" x14ac:dyDescent="0.2"/>
    <row r="405" s="57" customFormat="1" ht="15.75" customHeight="1" x14ac:dyDescent="0.2"/>
    <row r="406" s="57" customFormat="1" ht="15.75" customHeight="1" x14ac:dyDescent="0.2"/>
    <row r="407" s="57" customFormat="1" ht="15.75" customHeight="1" x14ac:dyDescent="0.2"/>
    <row r="408" s="57" customFormat="1" ht="15.75" customHeight="1" x14ac:dyDescent="0.2"/>
    <row r="409" s="57" customFormat="1" ht="15.75" customHeight="1" x14ac:dyDescent="0.2"/>
    <row r="410" s="57" customFormat="1" ht="15.75" customHeight="1" x14ac:dyDescent="0.2"/>
    <row r="411" s="57" customFormat="1" ht="15.75" customHeight="1" x14ac:dyDescent="0.2"/>
    <row r="412" s="57" customFormat="1" ht="15.75" customHeight="1" x14ac:dyDescent="0.2"/>
    <row r="413" s="57" customFormat="1" ht="15.75" customHeight="1" x14ac:dyDescent="0.2"/>
    <row r="414" s="57" customFormat="1" ht="15.75" customHeight="1" x14ac:dyDescent="0.2"/>
    <row r="415" s="57" customFormat="1" ht="15.75" customHeight="1" x14ac:dyDescent="0.2"/>
    <row r="416" s="57" customFormat="1" ht="15.75" customHeight="1" x14ac:dyDescent="0.2"/>
    <row r="417" s="57" customFormat="1" ht="15.75" customHeight="1" x14ac:dyDescent="0.2"/>
    <row r="418" s="57" customFormat="1" ht="15.75" customHeight="1" x14ac:dyDescent="0.2"/>
    <row r="419" s="57" customFormat="1" ht="15.75" customHeight="1" x14ac:dyDescent="0.2"/>
    <row r="420" s="57" customFormat="1" ht="15.75" customHeight="1" x14ac:dyDescent="0.2"/>
    <row r="421" s="57" customFormat="1" ht="15.75" customHeight="1" x14ac:dyDescent="0.2"/>
    <row r="422" s="57" customFormat="1" ht="15.75" customHeight="1" x14ac:dyDescent="0.2"/>
    <row r="423" s="57" customFormat="1" ht="15.75" customHeight="1" x14ac:dyDescent="0.2"/>
    <row r="424" s="57" customFormat="1" ht="15.75" customHeight="1" x14ac:dyDescent="0.2"/>
    <row r="425" s="57" customFormat="1" ht="15.75" customHeight="1" x14ac:dyDescent="0.2"/>
    <row r="426" s="57" customFormat="1" ht="15.75" customHeight="1" x14ac:dyDescent="0.2"/>
    <row r="427" s="57" customFormat="1" ht="15.75" customHeight="1" x14ac:dyDescent="0.2"/>
    <row r="428" s="57" customFormat="1" ht="15.75" customHeight="1" x14ac:dyDescent="0.2"/>
    <row r="429" s="57" customFormat="1" ht="15.75" customHeight="1" x14ac:dyDescent="0.2"/>
    <row r="430" s="57" customFormat="1" ht="15.75" customHeight="1" x14ac:dyDescent="0.2"/>
    <row r="431" s="57" customFormat="1" ht="15.75" customHeight="1" x14ac:dyDescent="0.2"/>
    <row r="432" s="57" customFormat="1" ht="15.75" customHeight="1" x14ac:dyDescent="0.2"/>
    <row r="433" s="57" customFormat="1" ht="15.75" customHeight="1" x14ac:dyDescent="0.2"/>
    <row r="434" s="57" customFormat="1" ht="15.75" customHeight="1" x14ac:dyDescent="0.2"/>
    <row r="435" s="57" customFormat="1" ht="15.75" customHeight="1" x14ac:dyDescent="0.2"/>
    <row r="436" s="57" customFormat="1" ht="15.75" customHeight="1" x14ac:dyDescent="0.2"/>
    <row r="437" s="57" customFormat="1" ht="15.75" customHeight="1" x14ac:dyDescent="0.2"/>
    <row r="438" s="57" customFormat="1" ht="15.75" customHeight="1" x14ac:dyDescent="0.2"/>
    <row r="439" s="57" customFormat="1" ht="15.75" customHeight="1" x14ac:dyDescent="0.2"/>
    <row r="440" s="57" customFormat="1" ht="15.75" customHeight="1" x14ac:dyDescent="0.2"/>
    <row r="441" s="57" customFormat="1" ht="15.75" customHeight="1" x14ac:dyDescent="0.2"/>
    <row r="442" s="57" customFormat="1" ht="15.75" customHeight="1" x14ac:dyDescent="0.2"/>
    <row r="443" s="57" customFormat="1" ht="15.75" customHeight="1" x14ac:dyDescent="0.2"/>
    <row r="444" s="57" customFormat="1" ht="15.75" customHeight="1" x14ac:dyDescent="0.2"/>
    <row r="445" s="57" customFormat="1" ht="15.75" customHeight="1" x14ac:dyDescent="0.2"/>
    <row r="446" s="57" customFormat="1" ht="15.75" customHeight="1" x14ac:dyDescent="0.2"/>
    <row r="447" s="57" customFormat="1" ht="15.75" customHeight="1" x14ac:dyDescent="0.2"/>
    <row r="448" s="57" customFormat="1" ht="15.75" customHeight="1" x14ac:dyDescent="0.2"/>
    <row r="449" s="57" customFormat="1" ht="15.75" customHeight="1" x14ac:dyDescent="0.2"/>
    <row r="450" s="57" customFormat="1" ht="15.75" customHeight="1" x14ac:dyDescent="0.2"/>
    <row r="451" s="57" customFormat="1" ht="15.75" customHeight="1" x14ac:dyDescent="0.2"/>
    <row r="452" s="57" customFormat="1" ht="15.75" customHeight="1" x14ac:dyDescent="0.2"/>
    <row r="453" s="57" customFormat="1" ht="15.75" customHeight="1" x14ac:dyDescent="0.2"/>
    <row r="454" s="57" customFormat="1" ht="15.75" customHeight="1" x14ac:dyDescent="0.2"/>
    <row r="455" s="57" customFormat="1" ht="15.75" customHeight="1" x14ac:dyDescent="0.2"/>
    <row r="456" s="57" customFormat="1" ht="15.75" customHeight="1" x14ac:dyDescent="0.2"/>
    <row r="457" s="57" customFormat="1" ht="15.75" customHeight="1" x14ac:dyDescent="0.2"/>
    <row r="458" s="57" customFormat="1" ht="15.75" customHeight="1" x14ac:dyDescent="0.2"/>
    <row r="459" s="57" customFormat="1" ht="15.75" customHeight="1" x14ac:dyDescent="0.2"/>
    <row r="460" s="57" customFormat="1" ht="15.75" customHeight="1" x14ac:dyDescent="0.2"/>
    <row r="461" s="57" customFormat="1" ht="15.75" customHeight="1" x14ac:dyDescent="0.2"/>
    <row r="462" s="57" customFormat="1" ht="15.75" customHeight="1" x14ac:dyDescent="0.2"/>
    <row r="463" s="57" customFormat="1" ht="15.75" customHeight="1" x14ac:dyDescent="0.2"/>
    <row r="464" s="57" customFormat="1" ht="15.75" customHeight="1" x14ac:dyDescent="0.2"/>
    <row r="465" s="57" customFormat="1" ht="15.75" customHeight="1" x14ac:dyDescent="0.2"/>
    <row r="466" s="57" customFormat="1" ht="15.75" customHeight="1" x14ac:dyDescent="0.2"/>
    <row r="467" s="57" customFormat="1" ht="15.75" customHeight="1" x14ac:dyDescent="0.2"/>
    <row r="468" s="57" customFormat="1" ht="15.75" customHeight="1" x14ac:dyDescent="0.2"/>
    <row r="469" s="57" customFormat="1" ht="15.75" customHeight="1" x14ac:dyDescent="0.2"/>
    <row r="470" s="57" customFormat="1" ht="15.75" customHeight="1" x14ac:dyDescent="0.2"/>
    <row r="471" s="57" customFormat="1" ht="15.75" customHeight="1" x14ac:dyDescent="0.2"/>
    <row r="472" s="57" customFormat="1" ht="15.75" customHeight="1" x14ac:dyDescent="0.2"/>
    <row r="473" s="57" customFormat="1" ht="15.75" customHeight="1" x14ac:dyDescent="0.2"/>
    <row r="474" s="57" customFormat="1" ht="15.75" customHeight="1" x14ac:dyDescent="0.2"/>
    <row r="475" s="57" customFormat="1" ht="15.75" customHeight="1" x14ac:dyDescent="0.2"/>
    <row r="476" s="57" customFormat="1" ht="15.75" customHeight="1" x14ac:dyDescent="0.2"/>
    <row r="477" s="57" customFormat="1" ht="15.75" customHeight="1" x14ac:dyDescent="0.2"/>
    <row r="478" s="57" customFormat="1" ht="15.75" customHeight="1" x14ac:dyDescent="0.2"/>
    <row r="479" s="57" customFormat="1" ht="15.75" customHeight="1" x14ac:dyDescent="0.2"/>
    <row r="480" s="57" customFormat="1" ht="15.75" customHeight="1" x14ac:dyDescent="0.2"/>
    <row r="481" s="57" customFormat="1" ht="15.75" customHeight="1" x14ac:dyDescent="0.2"/>
    <row r="482" s="57" customFormat="1" ht="15.75" customHeight="1" x14ac:dyDescent="0.2"/>
    <row r="483" s="57" customFormat="1" ht="15.75" customHeight="1" x14ac:dyDescent="0.2"/>
    <row r="484" s="57" customFormat="1" ht="15.75" customHeight="1" x14ac:dyDescent="0.2"/>
    <row r="485" s="57" customFormat="1" ht="15.75" customHeight="1" x14ac:dyDescent="0.2"/>
    <row r="486" s="57" customFormat="1" ht="15.75" customHeight="1" x14ac:dyDescent="0.2"/>
    <row r="487" s="57" customFormat="1" ht="15.75" customHeight="1" x14ac:dyDescent="0.2"/>
    <row r="488" s="57" customFormat="1" ht="15.75" customHeight="1" x14ac:dyDescent="0.2"/>
    <row r="489" s="57" customFormat="1" ht="15.75" customHeight="1" x14ac:dyDescent="0.2"/>
    <row r="490" s="57" customFormat="1" ht="15.75" customHeight="1" x14ac:dyDescent="0.2"/>
    <row r="491" s="57" customFormat="1" ht="15.75" customHeight="1" x14ac:dyDescent="0.2"/>
    <row r="492" s="57" customFormat="1" ht="15.75" customHeight="1" x14ac:dyDescent="0.2"/>
    <row r="493" s="57" customFormat="1" ht="15.75" customHeight="1" x14ac:dyDescent="0.2"/>
    <row r="494" s="57" customFormat="1" ht="15.75" customHeight="1" x14ac:dyDescent="0.2"/>
    <row r="495" s="57" customFormat="1" ht="15.75" customHeight="1" x14ac:dyDescent="0.2"/>
    <row r="496" s="57" customFormat="1" ht="15.75" customHeight="1" x14ac:dyDescent="0.2"/>
    <row r="497" s="57" customFormat="1" ht="15.75" customHeight="1" x14ac:dyDescent="0.2"/>
    <row r="498" s="57" customFormat="1" ht="15.75" customHeight="1" x14ac:dyDescent="0.2"/>
    <row r="499" s="57" customFormat="1" ht="15.75" customHeight="1" x14ac:dyDescent="0.2"/>
    <row r="500" s="57" customFormat="1" ht="15.75" customHeight="1" x14ac:dyDescent="0.2"/>
    <row r="501" s="57" customFormat="1" ht="15.75" customHeight="1" x14ac:dyDescent="0.2"/>
    <row r="502" s="57" customFormat="1" ht="15.75" customHeight="1" x14ac:dyDescent="0.2"/>
    <row r="503" s="57" customFormat="1" ht="15.75" customHeight="1" x14ac:dyDescent="0.2"/>
    <row r="504" s="57" customFormat="1" ht="15.75" customHeight="1" x14ac:dyDescent="0.2"/>
    <row r="505" s="57" customFormat="1" ht="15.75" customHeight="1" x14ac:dyDescent="0.2"/>
    <row r="506" s="57" customFormat="1" ht="15.75" customHeight="1" x14ac:dyDescent="0.2"/>
    <row r="507" s="57" customFormat="1" ht="15.75" customHeight="1" x14ac:dyDescent="0.2"/>
    <row r="508" s="57" customFormat="1" ht="15.75" customHeight="1" x14ac:dyDescent="0.2"/>
    <row r="509" s="57" customFormat="1" ht="15.75" customHeight="1" x14ac:dyDescent="0.2"/>
    <row r="510" s="57" customFormat="1" ht="15.75" customHeight="1" x14ac:dyDescent="0.2"/>
    <row r="511" s="57" customFormat="1" ht="15.75" customHeight="1" x14ac:dyDescent="0.2"/>
    <row r="512" s="57" customFormat="1" ht="15.75" customHeight="1" x14ac:dyDescent="0.2"/>
    <row r="513" s="57" customFormat="1" ht="15.75" customHeight="1" x14ac:dyDescent="0.2"/>
    <row r="514" s="57" customFormat="1" ht="15.75" customHeight="1" x14ac:dyDescent="0.2"/>
    <row r="515" s="57" customFormat="1" ht="15.75" customHeight="1" x14ac:dyDescent="0.2"/>
    <row r="516" s="57" customFormat="1" ht="15.75" customHeight="1" x14ac:dyDescent="0.2"/>
    <row r="517" s="57" customFormat="1" ht="15.75" customHeight="1" x14ac:dyDescent="0.2"/>
    <row r="518" s="57" customFormat="1" ht="15.75" customHeight="1" x14ac:dyDescent="0.2"/>
    <row r="519" s="57" customFormat="1" ht="15.75" customHeight="1" x14ac:dyDescent="0.2"/>
    <row r="520" s="57" customFormat="1" ht="15.75" customHeight="1" x14ac:dyDescent="0.2"/>
    <row r="521" s="57" customFormat="1" ht="15.75" customHeight="1" x14ac:dyDescent="0.2"/>
    <row r="522" s="57" customFormat="1" ht="15.75" customHeight="1" x14ac:dyDescent="0.2"/>
    <row r="523" s="57" customFormat="1" ht="15.75" customHeight="1" x14ac:dyDescent="0.2"/>
    <row r="524" s="57" customFormat="1" ht="15.75" customHeight="1" x14ac:dyDescent="0.2"/>
    <row r="525" s="57" customFormat="1" ht="15.75" customHeight="1" x14ac:dyDescent="0.2"/>
    <row r="526" s="57" customFormat="1" ht="15.75" customHeight="1" x14ac:dyDescent="0.2"/>
    <row r="527" s="57" customFormat="1" ht="15.75" customHeight="1" x14ac:dyDescent="0.2"/>
    <row r="528" s="57" customFormat="1" ht="15.75" customHeight="1" x14ac:dyDescent="0.2"/>
    <row r="529" s="57" customFormat="1" ht="15.75" customHeight="1" x14ac:dyDescent="0.2"/>
    <row r="530" s="57" customFormat="1" ht="15.75" customHeight="1" x14ac:dyDescent="0.2"/>
    <row r="531" s="57" customFormat="1" ht="15.75" customHeight="1" x14ac:dyDescent="0.2"/>
    <row r="532" s="57" customFormat="1" ht="15.75" customHeight="1" x14ac:dyDescent="0.2"/>
    <row r="533" s="57" customFormat="1" ht="15.75" customHeight="1" x14ac:dyDescent="0.2"/>
    <row r="534" s="57" customFormat="1" ht="15.75" customHeight="1" x14ac:dyDescent="0.2"/>
    <row r="535" s="57" customFormat="1" ht="15.75" customHeight="1" x14ac:dyDescent="0.2"/>
    <row r="536" s="57" customFormat="1" ht="15.75" customHeight="1" x14ac:dyDescent="0.2"/>
    <row r="537" s="57" customFormat="1" ht="15.75" customHeight="1" x14ac:dyDescent="0.2"/>
    <row r="538" s="57" customFormat="1" ht="15.75" customHeight="1" x14ac:dyDescent="0.2"/>
    <row r="539" s="57" customFormat="1" ht="15.75" customHeight="1" x14ac:dyDescent="0.2"/>
    <row r="540" s="57" customFormat="1" ht="15.75" customHeight="1" x14ac:dyDescent="0.2"/>
    <row r="541" s="57" customFormat="1" ht="15.75" customHeight="1" x14ac:dyDescent="0.2"/>
    <row r="542" s="57" customFormat="1" ht="15.75" customHeight="1" x14ac:dyDescent="0.2"/>
    <row r="543" s="57" customFormat="1" ht="15.75" customHeight="1" x14ac:dyDescent="0.2"/>
    <row r="544" s="57" customFormat="1" ht="15.75" customHeight="1" x14ac:dyDescent="0.2"/>
    <row r="545" s="57" customFormat="1" ht="15.75" customHeight="1" x14ac:dyDescent="0.2"/>
    <row r="546" s="57" customFormat="1" ht="15.75" customHeight="1" x14ac:dyDescent="0.2"/>
    <row r="547" s="57" customFormat="1" ht="15.75" customHeight="1" x14ac:dyDescent="0.2"/>
    <row r="548" s="57" customFormat="1" ht="15.75" customHeight="1" x14ac:dyDescent="0.2"/>
    <row r="549" s="57" customFormat="1" ht="15.75" customHeight="1" x14ac:dyDescent="0.2"/>
    <row r="550" s="57" customFormat="1" ht="15.75" customHeight="1" x14ac:dyDescent="0.2"/>
    <row r="551" s="57" customFormat="1" ht="15.75" customHeight="1" x14ac:dyDescent="0.2"/>
    <row r="552" s="57" customFormat="1" ht="15.75" customHeight="1" x14ac:dyDescent="0.2"/>
    <row r="553" s="57" customFormat="1" ht="15.75" customHeight="1" x14ac:dyDescent="0.2"/>
    <row r="554" s="57" customFormat="1" ht="15.75" customHeight="1" x14ac:dyDescent="0.2"/>
    <row r="555" s="57" customFormat="1" ht="15.75" customHeight="1" x14ac:dyDescent="0.2"/>
    <row r="556" s="57" customFormat="1" ht="15.75" customHeight="1" x14ac:dyDescent="0.2"/>
    <row r="557" s="57" customFormat="1" ht="15.75" customHeight="1" x14ac:dyDescent="0.2"/>
    <row r="558" s="57" customFormat="1" ht="15.75" customHeight="1" x14ac:dyDescent="0.2"/>
    <row r="559" s="57" customFormat="1" ht="15.75" customHeight="1" x14ac:dyDescent="0.2"/>
    <row r="560" s="57" customFormat="1" ht="15.75" customHeight="1" x14ac:dyDescent="0.2"/>
    <row r="561" s="57" customFormat="1" ht="15.75" customHeight="1" x14ac:dyDescent="0.2"/>
    <row r="562" s="57" customFormat="1" ht="15.75" customHeight="1" x14ac:dyDescent="0.2"/>
    <row r="563" s="57" customFormat="1" ht="15.75" customHeight="1" x14ac:dyDescent="0.2"/>
    <row r="564" s="57" customFormat="1" ht="15.75" customHeight="1" x14ac:dyDescent="0.2"/>
    <row r="565" s="57" customFormat="1" ht="15.75" customHeight="1" x14ac:dyDescent="0.2"/>
    <row r="566" s="57" customFormat="1" ht="15.75" customHeight="1" x14ac:dyDescent="0.2"/>
    <row r="567" s="57" customFormat="1" ht="15.75" customHeight="1" x14ac:dyDescent="0.2"/>
    <row r="568" s="57" customFormat="1" ht="15.75" customHeight="1" x14ac:dyDescent="0.2"/>
    <row r="569" s="57" customFormat="1" ht="15.75" customHeight="1" x14ac:dyDescent="0.2"/>
    <row r="570" s="57" customFormat="1" ht="15.75" customHeight="1" x14ac:dyDescent="0.2"/>
    <row r="571" s="57" customFormat="1" ht="15.75" customHeight="1" x14ac:dyDescent="0.2"/>
    <row r="572" s="57" customFormat="1" ht="15.75" customHeight="1" x14ac:dyDescent="0.2"/>
    <row r="573" s="57" customFormat="1" ht="15.75" customHeight="1" x14ac:dyDescent="0.2"/>
    <row r="574" s="57" customFormat="1" ht="15.75" customHeight="1" x14ac:dyDescent="0.2"/>
    <row r="575" s="57" customFormat="1" ht="15.75" customHeight="1" x14ac:dyDescent="0.2"/>
    <row r="576" s="57" customFormat="1" ht="15.75" customHeight="1" x14ac:dyDescent="0.2"/>
    <row r="577" s="57" customFormat="1" ht="15.75" customHeight="1" x14ac:dyDescent="0.2"/>
    <row r="578" s="57" customFormat="1" ht="15.75" customHeight="1" x14ac:dyDescent="0.2"/>
    <row r="579" s="57" customFormat="1" ht="15.75" customHeight="1" x14ac:dyDescent="0.2"/>
    <row r="580" s="57" customFormat="1" ht="15.75" customHeight="1" x14ac:dyDescent="0.2"/>
    <row r="581" s="57" customFormat="1" ht="15.75" customHeight="1" x14ac:dyDescent="0.2"/>
    <row r="582" s="57" customFormat="1" ht="15.75" customHeight="1" x14ac:dyDescent="0.2"/>
    <row r="583" s="57" customFormat="1" ht="15.75" customHeight="1" x14ac:dyDescent="0.2"/>
    <row r="584" s="57" customFormat="1" ht="15.75" customHeight="1" x14ac:dyDescent="0.2"/>
    <row r="585" s="57" customFormat="1" ht="15.75" customHeight="1" x14ac:dyDescent="0.2"/>
    <row r="586" s="57" customFormat="1" ht="15.75" customHeight="1" x14ac:dyDescent="0.2"/>
    <row r="587" s="57" customFormat="1" ht="15.75" customHeight="1" x14ac:dyDescent="0.2"/>
    <row r="588" s="57" customFormat="1" ht="15.75" customHeight="1" x14ac:dyDescent="0.2"/>
    <row r="589" s="57" customFormat="1" ht="15.75" customHeight="1" x14ac:dyDescent="0.2"/>
    <row r="590" s="57" customFormat="1" ht="15.75" customHeight="1" x14ac:dyDescent="0.2"/>
    <row r="591" s="57" customFormat="1" ht="15.75" customHeight="1" x14ac:dyDescent="0.2"/>
    <row r="592" s="57" customFormat="1" ht="15.75" customHeight="1" x14ac:dyDescent="0.2"/>
    <row r="593" s="57" customFormat="1" ht="15.75" customHeight="1" x14ac:dyDescent="0.2"/>
    <row r="594" s="57" customFormat="1" ht="15.75" customHeight="1" x14ac:dyDescent="0.2"/>
    <row r="595" s="57" customFormat="1" ht="15.75" customHeight="1" x14ac:dyDescent="0.2"/>
    <row r="596" s="57" customFormat="1" ht="15.75" customHeight="1" x14ac:dyDescent="0.2"/>
    <row r="597" s="57" customFormat="1" ht="15.75" customHeight="1" x14ac:dyDescent="0.2"/>
    <row r="598" s="57" customFormat="1" ht="15.75" customHeight="1" x14ac:dyDescent="0.2"/>
    <row r="599" s="57" customFormat="1" ht="15.75" customHeight="1" x14ac:dyDescent="0.2"/>
    <row r="600" s="57" customFormat="1" ht="15.75" customHeight="1" x14ac:dyDescent="0.2"/>
    <row r="601" s="57" customFormat="1" ht="15.75" customHeight="1" x14ac:dyDescent="0.2"/>
    <row r="602" s="57" customFormat="1" ht="15.75" customHeight="1" x14ac:dyDescent="0.2"/>
    <row r="603" s="57" customFormat="1" ht="15.75" customHeight="1" x14ac:dyDescent="0.2"/>
    <row r="604" s="57" customFormat="1" ht="15.75" customHeight="1" x14ac:dyDescent="0.2"/>
    <row r="605" s="57" customFormat="1" ht="15.75" customHeight="1" x14ac:dyDescent="0.2"/>
    <row r="606" s="57" customFormat="1" ht="15.75" customHeight="1" x14ac:dyDescent="0.2"/>
    <row r="607" s="57" customFormat="1" ht="15.75" customHeight="1" x14ac:dyDescent="0.2"/>
    <row r="608" s="57" customFormat="1" ht="15.75" customHeight="1" x14ac:dyDescent="0.2"/>
    <row r="609" s="57" customFormat="1" ht="15.75" customHeight="1" x14ac:dyDescent="0.2"/>
    <row r="610" s="57" customFormat="1" ht="15.75" customHeight="1" x14ac:dyDescent="0.2"/>
    <row r="611" s="57" customFormat="1" ht="15.75" customHeight="1" x14ac:dyDescent="0.2"/>
    <row r="612" s="57" customFormat="1" ht="15.75" customHeight="1" x14ac:dyDescent="0.2"/>
    <row r="613" s="57" customFormat="1" ht="15.75" customHeight="1" x14ac:dyDescent="0.2"/>
    <row r="614" s="57" customFormat="1" ht="15.75" customHeight="1" x14ac:dyDescent="0.2"/>
    <row r="615" s="57" customFormat="1" ht="15.75" customHeight="1" x14ac:dyDescent="0.2"/>
    <row r="616" s="57" customFormat="1" ht="15.75" customHeight="1" x14ac:dyDescent="0.2"/>
    <row r="617" s="57" customFormat="1" ht="15.75" customHeight="1" x14ac:dyDescent="0.2"/>
    <row r="618" s="57" customFormat="1" ht="15.75" customHeight="1" x14ac:dyDescent="0.2"/>
    <row r="619" s="57" customFormat="1" ht="15.75" customHeight="1" x14ac:dyDescent="0.2"/>
    <row r="620" s="57" customFormat="1" ht="15.75" customHeight="1" x14ac:dyDescent="0.2"/>
    <row r="621" s="57" customFormat="1" ht="15.75" customHeight="1" x14ac:dyDescent="0.2"/>
    <row r="622" s="57" customFormat="1" ht="15.75" customHeight="1" x14ac:dyDescent="0.2"/>
    <row r="623" s="57" customFormat="1" ht="15.75" customHeight="1" x14ac:dyDescent="0.2"/>
    <row r="624" s="57" customFormat="1" ht="15.75" customHeight="1" x14ac:dyDescent="0.2"/>
    <row r="625" s="57" customFormat="1" ht="15.75" customHeight="1" x14ac:dyDescent="0.2"/>
    <row r="626" s="57" customFormat="1" ht="15.75" customHeight="1" x14ac:dyDescent="0.2"/>
    <row r="627" s="57" customFormat="1" ht="15.75" customHeight="1" x14ac:dyDescent="0.2"/>
    <row r="628" s="57" customFormat="1" ht="15.75" customHeight="1" x14ac:dyDescent="0.2"/>
    <row r="629" s="57" customFormat="1" ht="15.75" customHeight="1" x14ac:dyDescent="0.2"/>
    <row r="630" s="57" customFormat="1" ht="15.75" customHeight="1" x14ac:dyDescent="0.2"/>
    <row r="631" s="57" customFormat="1" ht="15.75" customHeight="1" x14ac:dyDescent="0.2"/>
    <row r="632" s="57" customFormat="1" ht="15.75" customHeight="1" x14ac:dyDescent="0.2"/>
    <row r="633" s="57" customFormat="1" ht="15.75" customHeight="1" x14ac:dyDescent="0.2"/>
    <row r="634" s="57" customFormat="1" ht="15.75" customHeight="1" x14ac:dyDescent="0.2"/>
    <row r="635" s="57" customFormat="1" ht="15.75" customHeight="1" x14ac:dyDescent="0.2"/>
    <row r="636" s="57" customFormat="1" ht="15.75" customHeight="1" x14ac:dyDescent="0.2"/>
    <row r="637" s="57" customFormat="1" ht="15.75" customHeight="1" x14ac:dyDescent="0.2"/>
    <row r="638" s="57" customFormat="1" ht="15.75" customHeight="1" x14ac:dyDescent="0.2"/>
    <row r="639" s="57" customFormat="1" ht="15.75" customHeight="1" x14ac:dyDescent="0.2"/>
    <row r="640" s="57" customFormat="1" ht="15.75" customHeight="1" x14ac:dyDescent="0.2"/>
    <row r="641" s="57" customFormat="1" ht="15.75" customHeight="1" x14ac:dyDescent="0.2"/>
    <row r="642" s="57" customFormat="1" ht="15.75" customHeight="1" x14ac:dyDescent="0.2"/>
    <row r="643" s="57" customFormat="1" ht="15.75" customHeight="1" x14ac:dyDescent="0.2"/>
    <row r="644" s="57" customFormat="1" ht="15.75" customHeight="1" x14ac:dyDescent="0.2"/>
    <row r="645" s="57" customFormat="1" ht="15.75" customHeight="1" x14ac:dyDescent="0.2"/>
    <row r="646" s="57" customFormat="1" ht="15.75" customHeight="1" x14ac:dyDescent="0.2"/>
    <row r="647" s="57" customFormat="1" ht="15.75" customHeight="1" x14ac:dyDescent="0.2"/>
    <row r="648" s="57" customFormat="1" ht="15.75" customHeight="1" x14ac:dyDescent="0.2"/>
    <row r="649" s="57" customFormat="1" ht="15.75" customHeight="1" x14ac:dyDescent="0.2"/>
    <row r="650" s="57" customFormat="1" ht="15.75" customHeight="1" x14ac:dyDescent="0.2"/>
    <row r="651" s="57" customFormat="1" ht="15.75" customHeight="1" x14ac:dyDescent="0.2"/>
    <row r="652" s="57" customFormat="1" ht="15.75" customHeight="1" x14ac:dyDescent="0.2"/>
    <row r="653" s="57" customFormat="1" ht="15.75" customHeight="1" x14ac:dyDescent="0.2"/>
    <row r="654" s="57" customFormat="1" ht="15.75" customHeight="1" x14ac:dyDescent="0.2"/>
    <row r="655" s="57" customFormat="1" ht="15.75" customHeight="1" x14ac:dyDescent="0.2"/>
    <row r="656" s="57" customFormat="1" ht="15.75" customHeight="1" x14ac:dyDescent="0.2"/>
    <row r="657" s="57" customFormat="1" ht="15.75" customHeight="1" x14ac:dyDescent="0.2"/>
    <row r="658" s="57" customFormat="1" ht="15.75" customHeight="1" x14ac:dyDescent="0.2"/>
    <row r="659" s="57" customFormat="1" ht="15.75" customHeight="1" x14ac:dyDescent="0.2"/>
    <row r="660" s="57" customFormat="1" ht="15.75" customHeight="1" x14ac:dyDescent="0.2"/>
    <row r="661" s="57" customFormat="1" ht="15.75" customHeight="1" x14ac:dyDescent="0.2"/>
    <row r="662" s="57" customFormat="1" ht="15.75" customHeight="1" x14ac:dyDescent="0.2"/>
    <row r="663" s="57" customFormat="1" ht="15.75" customHeight="1" x14ac:dyDescent="0.2"/>
    <row r="664" s="57" customFormat="1" ht="15.75" customHeight="1" x14ac:dyDescent="0.2"/>
    <row r="665" s="57" customFormat="1" ht="15.75" customHeight="1" x14ac:dyDescent="0.2"/>
    <row r="666" s="57" customFormat="1" ht="15.75" customHeight="1" x14ac:dyDescent="0.2"/>
    <row r="667" s="57" customFormat="1" ht="15.75" customHeight="1" x14ac:dyDescent="0.2"/>
    <row r="668" s="57" customFormat="1" ht="15.75" customHeight="1" x14ac:dyDescent="0.2"/>
    <row r="669" s="57" customFormat="1" ht="15.75" customHeight="1" x14ac:dyDescent="0.2"/>
    <row r="670" s="57" customFormat="1" ht="15.75" customHeight="1" x14ac:dyDescent="0.2"/>
    <row r="671" s="57" customFormat="1" ht="15.75" customHeight="1" x14ac:dyDescent="0.2"/>
    <row r="672" s="57" customFormat="1" ht="15.75" customHeight="1" x14ac:dyDescent="0.2"/>
    <row r="673" s="57" customFormat="1" ht="15.75" customHeight="1" x14ac:dyDescent="0.2"/>
    <row r="674" s="57" customFormat="1" ht="15.75" customHeight="1" x14ac:dyDescent="0.2"/>
    <row r="675" s="57" customFormat="1" ht="15.75" customHeight="1" x14ac:dyDescent="0.2"/>
    <row r="676" s="57" customFormat="1" ht="15.75" customHeight="1" x14ac:dyDescent="0.2"/>
    <row r="677" s="57" customFormat="1" ht="15.75" customHeight="1" x14ac:dyDescent="0.2"/>
    <row r="678" s="57" customFormat="1" ht="15.75" customHeight="1" x14ac:dyDescent="0.2"/>
    <row r="679" s="57" customFormat="1" ht="15.75" customHeight="1" x14ac:dyDescent="0.2"/>
    <row r="680" s="57" customFormat="1" ht="15.75" customHeight="1" x14ac:dyDescent="0.2"/>
    <row r="681" s="57" customFormat="1" ht="15.75" customHeight="1" x14ac:dyDescent="0.2"/>
    <row r="682" s="57" customFormat="1" ht="15.75" customHeight="1" x14ac:dyDescent="0.2"/>
    <row r="683" s="57" customFormat="1" ht="15.75" customHeight="1" x14ac:dyDescent="0.2"/>
    <row r="684" s="57" customFormat="1" ht="15.75" customHeight="1" x14ac:dyDescent="0.2"/>
    <row r="685" s="57" customFormat="1" ht="15.75" customHeight="1" x14ac:dyDescent="0.2"/>
    <row r="686" s="57" customFormat="1" ht="15.75" customHeight="1" x14ac:dyDescent="0.2"/>
    <row r="687" s="57" customFormat="1" ht="15.75" customHeight="1" x14ac:dyDescent="0.2"/>
    <row r="688" s="57" customFormat="1" ht="15.75" customHeight="1" x14ac:dyDescent="0.2"/>
    <row r="689" s="57" customFormat="1" ht="15.75" customHeight="1" x14ac:dyDescent="0.2"/>
    <row r="690" s="57" customFormat="1" ht="15.75" customHeight="1" x14ac:dyDescent="0.2"/>
    <row r="691" s="57" customFormat="1" ht="15.75" customHeight="1" x14ac:dyDescent="0.2"/>
    <row r="692" s="57" customFormat="1" ht="15.75" customHeight="1" x14ac:dyDescent="0.2"/>
    <row r="693" s="57" customFormat="1" ht="15.75" customHeight="1" x14ac:dyDescent="0.2"/>
    <row r="694" s="57" customFormat="1" ht="15.75" customHeight="1" x14ac:dyDescent="0.2"/>
    <row r="695" s="57" customFormat="1" ht="15.75" customHeight="1" x14ac:dyDescent="0.2"/>
    <row r="696" s="57" customFormat="1" ht="15.75" customHeight="1" x14ac:dyDescent="0.2"/>
    <row r="697" s="57" customFormat="1" ht="15.75" customHeight="1" x14ac:dyDescent="0.2"/>
    <row r="698" s="57" customFormat="1" ht="15.75" customHeight="1" x14ac:dyDescent="0.2"/>
    <row r="699" s="57" customFormat="1" ht="15.75" customHeight="1" x14ac:dyDescent="0.2"/>
    <row r="700" s="57" customFormat="1" ht="15.75" customHeight="1" x14ac:dyDescent="0.2"/>
    <row r="701" s="57" customFormat="1" ht="15.75" customHeight="1" x14ac:dyDescent="0.2"/>
    <row r="702" s="57" customFormat="1" ht="15.75" customHeight="1" x14ac:dyDescent="0.2"/>
    <row r="703" s="57" customFormat="1" ht="15.75" customHeight="1" x14ac:dyDescent="0.2"/>
    <row r="704" s="57" customFormat="1" ht="15.75" customHeight="1" x14ac:dyDescent="0.2"/>
    <row r="705" s="57" customFormat="1" ht="15.75" customHeight="1" x14ac:dyDescent="0.2"/>
    <row r="706" s="57" customFormat="1" ht="15.75" customHeight="1" x14ac:dyDescent="0.2"/>
    <row r="707" s="57" customFormat="1" ht="15.75" customHeight="1" x14ac:dyDescent="0.2"/>
    <row r="708" s="57" customFormat="1" ht="15.75" customHeight="1" x14ac:dyDescent="0.2"/>
    <row r="709" s="57" customFormat="1" ht="15.75" customHeight="1" x14ac:dyDescent="0.2"/>
    <row r="710" s="57" customFormat="1" ht="15.75" customHeight="1" x14ac:dyDescent="0.2"/>
    <row r="711" s="57" customFormat="1" ht="15.75" customHeight="1" x14ac:dyDescent="0.2"/>
    <row r="712" s="57" customFormat="1" ht="15.75" customHeight="1" x14ac:dyDescent="0.2"/>
    <row r="713" s="57" customFormat="1" ht="15.75" customHeight="1" x14ac:dyDescent="0.2"/>
    <row r="714" s="57" customFormat="1" ht="15.75" customHeight="1" x14ac:dyDescent="0.2"/>
    <row r="715" s="57" customFormat="1" ht="15.75" customHeight="1" x14ac:dyDescent="0.2"/>
    <row r="716" s="57" customFormat="1" ht="15.75" customHeight="1" x14ac:dyDescent="0.2"/>
    <row r="717" s="57" customFormat="1" ht="15.75" customHeight="1" x14ac:dyDescent="0.2"/>
    <row r="718" s="57" customFormat="1" ht="15.75" customHeight="1" x14ac:dyDescent="0.2"/>
    <row r="719" s="57" customFormat="1" ht="15.75" customHeight="1" x14ac:dyDescent="0.2"/>
    <row r="720" s="57" customFormat="1" ht="15.75" customHeight="1" x14ac:dyDescent="0.2"/>
    <row r="721" s="57" customFormat="1" ht="15.75" customHeight="1" x14ac:dyDescent="0.2"/>
    <row r="722" s="57" customFormat="1" ht="15.75" customHeight="1" x14ac:dyDescent="0.2"/>
    <row r="723" s="57" customFormat="1" ht="15.75" customHeight="1" x14ac:dyDescent="0.2"/>
    <row r="724" s="57" customFormat="1" ht="15.75" customHeight="1" x14ac:dyDescent="0.2"/>
    <row r="725" s="57" customFormat="1" ht="15.75" customHeight="1" x14ac:dyDescent="0.2"/>
    <row r="726" s="57" customFormat="1" ht="15.75" customHeight="1" x14ac:dyDescent="0.2"/>
    <row r="727" s="57" customFormat="1" ht="15.75" customHeight="1" x14ac:dyDescent="0.2"/>
    <row r="728" s="57" customFormat="1" ht="15.75" customHeight="1" x14ac:dyDescent="0.2"/>
    <row r="729" s="57" customFormat="1" ht="15.75" customHeight="1" x14ac:dyDescent="0.2"/>
    <row r="730" s="57" customFormat="1" ht="15.75" customHeight="1" x14ac:dyDescent="0.2"/>
    <row r="731" s="57" customFormat="1" ht="15.75" customHeight="1" x14ac:dyDescent="0.2"/>
    <row r="732" s="57" customFormat="1" ht="15.75" customHeight="1" x14ac:dyDescent="0.2"/>
    <row r="733" s="57" customFormat="1" ht="15.75" customHeight="1" x14ac:dyDescent="0.2"/>
    <row r="734" s="57" customFormat="1" ht="15.75" customHeight="1" x14ac:dyDescent="0.2"/>
    <row r="735" s="57" customFormat="1" ht="15.75" customHeight="1" x14ac:dyDescent="0.2"/>
    <row r="736" s="57" customFormat="1" ht="15.75" customHeight="1" x14ac:dyDescent="0.2"/>
    <row r="737" s="57" customFormat="1" ht="15.75" customHeight="1" x14ac:dyDescent="0.2"/>
    <row r="738" s="57" customFormat="1" ht="15.75" customHeight="1" x14ac:dyDescent="0.2"/>
    <row r="739" s="57" customFormat="1" ht="15.75" customHeight="1" x14ac:dyDescent="0.2"/>
    <row r="740" s="57" customFormat="1" ht="15.75" customHeight="1" x14ac:dyDescent="0.2"/>
    <row r="741" s="57" customFormat="1" ht="15.75" customHeight="1" x14ac:dyDescent="0.2"/>
    <row r="742" s="57" customFormat="1" ht="15.75" customHeight="1" x14ac:dyDescent="0.2"/>
    <row r="743" s="57" customFormat="1" ht="15.75" customHeight="1" x14ac:dyDescent="0.2"/>
    <row r="744" s="57" customFormat="1" ht="15.75" customHeight="1" x14ac:dyDescent="0.2"/>
    <row r="745" s="57" customFormat="1" ht="15.75" customHeight="1" x14ac:dyDescent="0.2"/>
    <row r="746" s="57" customFormat="1" ht="15.75" customHeight="1" x14ac:dyDescent="0.2"/>
    <row r="747" s="57" customFormat="1" ht="15.75" customHeight="1" x14ac:dyDescent="0.2"/>
    <row r="748" s="57" customFormat="1" ht="15.75" customHeight="1" x14ac:dyDescent="0.2"/>
    <row r="749" s="57" customFormat="1" ht="15.75" customHeight="1" x14ac:dyDescent="0.2"/>
    <row r="750" s="57" customFormat="1" ht="15.75" customHeight="1" x14ac:dyDescent="0.2"/>
    <row r="751" s="57" customFormat="1" ht="15.75" customHeight="1" x14ac:dyDescent="0.2"/>
    <row r="752" s="57" customFormat="1" ht="15.75" customHeight="1" x14ac:dyDescent="0.2"/>
    <row r="753" s="57" customFormat="1" ht="15.75" customHeight="1" x14ac:dyDescent="0.2"/>
    <row r="754" s="57" customFormat="1" ht="15.75" customHeight="1" x14ac:dyDescent="0.2"/>
    <row r="755" s="57" customFormat="1" ht="15.75" customHeight="1" x14ac:dyDescent="0.2"/>
    <row r="756" s="57" customFormat="1" ht="15.75" customHeight="1" x14ac:dyDescent="0.2"/>
    <row r="757" s="57" customFormat="1" ht="15.75" customHeight="1" x14ac:dyDescent="0.2"/>
    <row r="758" s="57" customFormat="1" ht="15.75" customHeight="1" x14ac:dyDescent="0.2"/>
    <row r="759" s="57" customFormat="1" ht="15.75" customHeight="1" x14ac:dyDescent="0.2"/>
    <row r="760" s="57" customFormat="1" ht="15.75" customHeight="1" x14ac:dyDescent="0.2"/>
    <row r="761" s="57" customFormat="1" ht="15.75" customHeight="1" x14ac:dyDescent="0.2"/>
    <row r="762" s="57" customFormat="1" ht="15.75" customHeight="1" x14ac:dyDescent="0.2"/>
    <row r="763" s="57" customFormat="1" ht="15.75" customHeight="1" x14ac:dyDescent="0.2"/>
    <row r="764" s="57" customFormat="1" ht="15.75" customHeight="1" x14ac:dyDescent="0.2"/>
    <row r="765" s="57" customFormat="1" ht="15.75" customHeight="1" x14ac:dyDescent="0.2"/>
    <row r="766" s="57" customFormat="1" ht="15.75" customHeight="1" x14ac:dyDescent="0.2"/>
    <row r="767" s="57" customFormat="1" ht="15.75" customHeight="1" x14ac:dyDescent="0.2"/>
    <row r="768" s="57" customFormat="1" ht="15.75" customHeight="1" x14ac:dyDescent="0.2"/>
    <row r="769" s="57" customFormat="1" ht="15.75" customHeight="1" x14ac:dyDescent="0.2"/>
    <row r="770" s="57" customFormat="1" ht="15.75" customHeight="1" x14ac:dyDescent="0.2"/>
    <row r="771" s="57" customFormat="1" ht="15.75" customHeight="1" x14ac:dyDescent="0.2"/>
    <row r="772" s="57" customFormat="1" ht="15.75" customHeight="1" x14ac:dyDescent="0.2"/>
    <row r="773" s="57" customFormat="1" ht="15.75" customHeight="1" x14ac:dyDescent="0.2"/>
    <row r="774" s="57" customFormat="1" ht="15.75" customHeight="1" x14ac:dyDescent="0.2"/>
    <row r="775" s="57" customFormat="1" ht="15.75" customHeight="1" x14ac:dyDescent="0.2"/>
    <row r="776" s="57" customFormat="1" ht="15.75" customHeight="1" x14ac:dyDescent="0.2"/>
    <row r="777" s="57" customFormat="1" ht="15.75" customHeight="1" x14ac:dyDescent="0.2"/>
    <row r="778" s="57" customFormat="1" ht="15.75" customHeight="1" x14ac:dyDescent="0.2"/>
    <row r="779" s="57" customFormat="1" ht="15.75" customHeight="1" x14ac:dyDescent="0.2"/>
    <row r="780" s="57" customFormat="1" ht="15.75" customHeight="1" x14ac:dyDescent="0.2"/>
    <row r="781" s="57" customFormat="1" ht="15.75" customHeight="1" x14ac:dyDescent="0.2"/>
    <row r="782" s="57" customFormat="1" ht="15.75" customHeight="1" x14ac:dyDescent="0.2"/>
    <row r="783" s="57" customFormat="1" ht="15.75" customHeight="1" x14ac:dyDescent="0.2"/>
    <row r="784" s="57" customFormat="1" ht="15.75" customHeight="1" x14ac:dyDescent="0.2"/>
    <row r="785" s="57" customFormat="1" ht="15.75" customHeight="1" x14ac:dyDescent="0.2"/>
    <row r="786" s="57" customFormat="1" ht="15.75" customHeight="1" x14ac:dyDescent="0.2"/>
    <row r="787" s="57" customFormat="1" ht="15.75" customHeight="1" x14ac:dyDescent="0.2"/>
    <row r="788" s="57" customFormat="1" ht="15.75" customHeight="1" x14ac:dyDescent="0.2"/>
    <row r="789" s="57" customFormat="1" ht="15.75" customHeight="1" x14ac:dyDescent="0.2"/>
    <row r="790" s="57" customFormat="1" ht="15.75" customHeight="1" x14ac:dyDescent="0.2"/>
    <row r="791" s="57" customFormat="1" ht="15.75" customHeight="1" x14ac:dyDescent="0.2"/>
    <row r="792" s="57" customFormat="1" ht="15.75" customHeight="1" x14ac:dyDescent="0.2"/>
    <row r="793" s="57" customFormat="1" ht="15.75" customHeight="1" x14ac:dyDescent="0.2"/>
    <row r="794" s="57" customFormat="1" ht="15.75" customHeight="1" x14ac:dyDescent="0.2"/>
    <row r="795" s="57" customFormat="1" ht="15.75" customHeight="1" x14ac:dyDescent="0.2"/>
    <row r="796" s="57" customFormat="1" ht="15.75" customHeight="1" x14ac:dyDescent="0.2"/>
    <row r="797" s="57" customFormat="1" ht="15.75" customHeight="1" x14ac:dyDescent="0.2"/>
    <row r="798" s="57" customFormat="1" ht="15.75" customHeight="1" x14ac:dyDescent="0.2"/>
    <row r="799" s="57" customFormat="1" ht="15.75" customHeight="1" x14ac:dyDescent="0.2"/>
    <row r="800" s="57" customFormat="1" ht="15.75" customHeight="1" x14ac:dyDescent="0.2"/>
    <row r="801" s="57" customFormat="1" ht="15.75" customHeight="1" x14ac:dyDescent="0.2"/>
    <row r="802" s="57" customFormat="1" ht="15.75" customHeight="1" x14ac:dyDescent="0.2"/>
    <row r="803" s="57" customFormat="1" ht="15.75" customHeight="1" x14ac:dyDescent="0.2"/>
    <row r="804" s="57" customFormat="1" ht="15.75" customHeight="1" x14ac:dyDescent="0.2"/>
    <row r="805" s="57" customFormat="1" ht="15.75" customHeight="1" x14ac:dyDescent="0.2"/>
    <row r="806" s="57" customFormat="1" ht="15.75" customHeight="1" x14ac:dyDescent="0.2"/>
    <row r="807" s="57" customFormat="1" ht="15.75" customHeight="1" x14ac:dyDescent="0.2"/>
    <row r="808" s="57" customFormat="1" ht="15.75" customHeight="1" x14ac:dyDescent="0.2"/>
    <row r="809" s="57" customFormat="1" ht="15.75" customHeight="1" x14ac:dyDescent="0.2"/>
    <row r="810" s="57" customFormat="1" ht="15.75" customHeight="1" x14ac:dyDescent="0.2"/>
    <row r="811" s="57" customFormat="1" ht="15.75" customHeight="1" x14ac:dyDescent="0.2"/>
    <row r="812" s="57" customFormat="1" ht="15.75" customHeight="1" x14ac:dyDescent="0.2"/>
    <row r="813" s="57" customFormat="1" ht="15.75" customHeight="1" x14ac:dyDescent="0.2"/>
    <row r="814" s="57" customFormat="1" ht="15.75" customHeight="1" x14ac:dyDescent="0.2"/>
    <row r="815" s="57" customFormat="1" ht="15.75" customHeight="1" x14ac:dyDescent="0.2"/>
    <row r="816" s="57" customFormat="1" ht="15.75" customHeight="1" x14ac:dyDescent="0.2"/>
    <row r="817" s="57" customFormat="1" ht="15.75" customHeight="1" x14ac:dyDescent="0.2"/>
    <row r="818" s="57" customFormat="1" ht="15.75" customHeight="1" x14ac:dyDescent="0.2"/>
    <row r="819" s="57" customFormat="1" ht="15.75" customHeight="1" x14ac:dyDescent="0.2"/>
    <row r="820" s="57" customFormat="1" ht="15.75" customHeight="1" x14ac:dyDescent="0.2"/>
    <row r="821" s="57" customFormat="1" ht="15.75" customHeight="1" x14ac:dyDescent="0.2"/>
    <row r="822" s="57" customFormat="1" ht="15.75" customHeight="1" x14ac:dyDescent="0.2"/>
    <row r="823" s="57" customFormat="1" ht="15.75" customHeight="1" x14ac:dyDescent="0.2"/>
    <row r="824" s="57" customFormat="1" ht="15.75" customHeight="1" x14ac:dyDescent="0.2"/>
    <row r="825" s="57" customFormat="1" ht="15.75" customHeight="1" x14ac:dyDescent="0.2"/>
    <row r="826" s="57" customFormat="1" ht="15.75" customHeight="1" x14ac:dyDescent="0.2"/>
    <row r="827" s="57" customFormat="1" ht="15.75" customHeight="1" x14ac:dyDescent="0.2"/>
    <row r="828" s="57" customFormat="1" ht="15.75" customHeight="1" x14ac:dyDescent="0.2"/>
    <row r="829" s="57" customFormat="1" ht="15.75" customHeight="1" x14ac:dyDescent="0.2"/>
    <row r="830" s="57" customFormat="1" ht="15.75" customHeight="1" x14ac:dyDescent="0.2"/>
    <row r="831" s="57" customFormat="1" ht="15.75" customHeight="1" x14ac:dyDescent="0.2"/>
    <row r="832" s="57" customFormat="1" ht="15.75" customHeight="1" x14ac:dyDescent="0.2"/>
    <row r="833" s="57" customFormat="1" ht="15.75" customHeight="1" x14ac:dyDescent="0.2"/>
    <row r="834" s="57" customFormat="1" ht="15.75" customHeight="1" x14ac:dyDescent="0.2"/>
    <row r="835" s="57" customFormat="1" ht="15.75" customHeight="1" x14ac:dyDescent="0.2"/>
    <row r="836" s="57" customFormat="1" ht="15.75" customHeight="1" x14ac:dyDescent="0.2"/>
    <row r="837" s="57" customFormat="1" ht="15.75" customHeight="1" x14ac:dyDescent="0.2"/>
    <row r="838" s="57" customFormat="1" ht="15.75" customHeight="1" x14ac:dyDescent="0.2"/>
    <row r="839" s="57" customFormat="1" ht="15.75" customHeight="1" x14ac:dyDescent="0.2"/>
    <row r="840" s="57" customFormat="1" ht="15.75" customHeight="1" x14ac:dyDescent="0.2"/>
    <row r="841" s="57" customFormat="1" ht="15.75" customHeight="1" x14ac:dyDescent="0.2"/>
    <row r="842" s="57" customFormat="1" ht="15.75" customHeight="1" x14ac:dyDescent="0.2"/>
    <row r="843" s="57" customFormat="1" ht="15.75" customHeight="1" x14ac:dyDescent="0.2"/>
    <row r="844" s="57" customFormat="1" ht="15.75" customHeight="1" x14ac:dyDescent="0.2"/>
    <row r="845" s="57" customFormat="1" ht="15.75" customHeight="1" x14ac:dyDescent="0.2"/>
    <row r="846" s="57" customFormat="1" ht="15.75" customHeight="1" x14ac:dyDescent="0.2"/>
    <row r="847" s="57" customFormat="1" ht="15.75" customHeight="1" x14ac:dyDescent="0.2"/>
    <row r="848" s="57" customFormat="1" ht="15.75" customHeight="1" x14ac:dyDescent="0.2"/>
    <row r="849" s="57" customFormat="1" ht="15.75" customHeight="1" x14ac:dyDescent="0.2"/>
    <row r="850" s="57" customFormat="1" ht="15.75" customHeight="1" x14ac:dyDescent="0.2"/>
    <row r="851" s="57" customFormat="1" ht="15.75" customHeight="1" x14ac:dyDescent="0.2"/>
    <row r="852" s="57" customFormat="1" ht="15.75" customHeight="1" x14ac:dyDescent="0.2"/>
    <row r="853" s="57" customFormat="1" ht="15.75" customHeight="1" x14ac:dyDescent="0.2"/>
    <row r="854" s="57" customFormat="1" ht="15.75" customHeight="1" x14ac:dyDescent="0.2"/>
    <row r="855" s="57" customFormat="1" ht="15.75" customHeight="1" x14ac:dyDescent="0.2"/>
    <row r="856" s="57" customFormat="1" ht="15.75" customHeight="1" x14ac:dyDescent="0.2"/>
    <row r="857" s="57" customFormat="1" ht="15.75" customHeight="1" x14ac:dyDescent="0.2"/>
    <row r="858" s="57" customFormat="1" ht="15.75" customHeight="1" x14ac:dyDescent="0.2"/>
    <row r="859" s="57" customFormat="1" ht="15.75" customHeight="1" x14ac:dyDescent="0.2"/>
    <row r="860" s="57" customFormat="1" ht="15.75" customHeight="1" x14ac:dyDescent="0.2"/>
    <row r="861" s="57" customFormat="1" ht="15.75" customHeight="1" x14ac:dyDescent="0.2"/>
    <row r="862" s="57" customFormat="1" ht="15.75" customHeight="1" x14ac:dyDescent="0.2"/>
    <row r="863" s="57" customFormat="1" ht="15.75" customHeight="1" x14ac:dyDescent="0.2"/>
    <row r="864" s="57" customFormat="1" ht="15.75" customHeight="1" x14ac:dyDescent="0.2"/>
    <row r="865" s="57" customFormat="1" ht="15.75" customHeight="1" x14ac:dyDescent="0.2"/>
    <row r="866" s="57" customFormat="1" ht="15.75" customHeight="1" x14ac:dyDescent="0.2"/>
    <row r="867" s="57" customFormat="1" ht="15.75" customHeight="1" x14ac:dyDescent="0.2"/>
    <row r="868" s="57" customFormat="1" ht="15.75" customHeight="1" x14ac:dyDescent="0.2"/>
    <row r="869" s="57" customFormat="1" ht="15.75" customHeight="1" x14ac:dyDescent="0.2"/>
    <row r="870" s="57" customFormat="1" ht="15.75" customHeight="1" x14ac:dyDescent="0.2"/>
    <row r="871" s="57" customFormat="1" ht="15.75" customHeight="1" x14ac:dyDescent="0.2"/>
    <row r="872" s="57" customFormat="1" ht="15.75" customHeight="1" x14ac:dyDescent="0.2"/>
    <row r="873" s="57" customFormat="1" ht="15.75" customHeight="1" x14ac:dyDescent="0.2"/>
    <row r="874" s="57" customFormat="1" ht="15.75" customHeight="1" x14ac:dyDescent="0.2"/>
    <row r="875" s="57" customFormat="1" ht="15.75" customHeight="1" x14ac:dyDescent="0.2"/>
    <row r="876" s="57" customFormat="1" ht="15.75" customHeight="1" x14ac:dyDescent="0.2"/>
    <row r="877" s="57" customFormat="1" ht="15.75" customHeight="1" x14ac:dyDescent="0.2"/>
    <row r="878" s="57" customFormat="1" ht="15.75" customHeight="1" x14ac:dyDescent="0.2"/>
    <row r="879" s="57" customFormat="1" ht="15.75" customHeight="1" x14ac:dyDescent="0.2"/>
    <row r="880" s="57" customFormat="1" ht="15.75" customHeight="1" x14ac:dyDescent="0.2"/>
    <row r="881" s="57" customFormat="1" ht="15.75" customHeight="1" x14ac:dyDescent="0.2"/>
    <row r="882" s="57" customFormat="1" ht="15.75" customHeight="1" x14ac:dyDescent="0.2"/>
    <row r="883" s="57" customFormat="1" ht="15.75" customHeight="1" x14ac:dyDescent="0.2"/>
    <row r="884" s="57" customFormat="1" ht="15.75" customHeight="1" x14ac:dyDescent="0.2"/>
    <row r="885" s="57" customFormat="1" ht="15.75" customHeight="1" x14ac:dyDescent="0.2"/>
    <row r="886" s="57" customFormat="1" ht="15.75" customHeight="1" x14ac:dyDescent="0.2"/>
    <row r="887" s="57" customFormat="1" ht="15.75" customHeight="1" x14ac:dyDescent="0.2"/>
    <row r="888" s="57" customFormat="1" ht="15.75" customHeight="1" x14ac:dyDescent="0.2"/>
    <row r="889" s="57" customFormat="1" ht="15.75" customHeight="1" x14ac:dyDescent="0.2"/>
    <row r="890" s="57" customFormat="1" ht="15.75" customHeight="1" x14ac:dyDescent="0.2"/>
    <row r="891" s="57" customFormat="1" ht="15.75" customHeight="1" x14ac:dyDescent="0.2"/>
    <row r="892" s="57" customFormat="1" ht="15.75" customHeight="1" x14ac:dyDescent="0.2"/>
    <row r="893" s="57" customFormat="1" ht="15.75" customHeight="1" x14ac:dyDescent="0.2"/>
    <row r="894" s="57" customFormat="1" ht="15.75" customHeight="1" x14ac:dyDescent="0.2"/>
    <row r="895" s="57" customFormat="1" ht="15.75" customHeight="1" x14ac:dyDescent="0.2"/>
    <row r="896" s="57" customFormat="1" ht="15.75" customHeight="1" x14ac:dyDescent="0.2"/>
    <row r="897" s="57" customFormat="1" ht="15.75" customHeight="1" x14ac:dyDescent="0.2"/>
    <row r="898" s="57" customFormat="1" ht="15.75" customHeight="1" x14ac:dyDescent="0.2"/>
    <row r="899" s="57" customFormat="1" ht="15.75" customHeight="1" x14ac:dyDescent="0.2"/>
    <row r="900" s="57" customFormat="1" ht="15.75" customHeight="1" x14ac:dyDescent="0.2"/>
    <row r="901" s="57" customFormat="1" ht="15.75" customHeight="1" x14ac:dyDescent="0.2"/>
    <row r="902" s="57" customFormat="1" ht="15.75" customHeight="1" x14ac:dyDescent="0.2"/>
    <row r="903" s="57" customFormat="1" ht="15.75" customHeight="1" x14ac:dyDescent="0.2"/>
    <row r="904" s="57" customFormat="1" ht="15.75" customHeight="1" x14ac:dyDescent="0.2"/>
    <row r="905" s="57" customFormat="1" ht="15.75" customHeight="1" x14ac:dyDescent="0.2"/>
    <row r="906" s="57" customFormat="1" ht="15.75" customHeight="1" x14ac:dyDescent="0.2"/>
    <row r="907" s="57" customFormat="1" ht="15.75" customHeight="1" x14ac:dyDescent="0.2"/>
    <row r="908" s="57" customFormat="1" ht="15.75" customHeight="1" x14ac:dyDescent="0.2"/>
    <row r="909" s="57" customFormat="1" ht="15.75" customHeight="1" x14ac:dyDescent="0.2"/>
    <row r="910" s="57" customFormat="1" ht="15.75" customHeight="1" x14ac:dyDescent="0.2"/>
    <row r="911" s="57" customFormat="1" ht="15.75" customHeight="1" x14ac:dyDescent="0.2"/>
    <row r="912" s="57" customFormat="1" ht="15.75" customHeight="1" x14ac:dyDescent="0.2"/>
    <row r="913" s="57" customFormat="1" ht="15.75" customHeight="1" x14ac:dyDescent="0.2"/>
    <row r="914" s="57" customFormat="1" ht="15.75" customHeight="1" x14ac:dyDescent="0.2"/>
    <row r="915" s="57" customFormat="1" ht="15.75" customHeight="1" x14ac:dyDescent="0.2"/>
    <row r="916" s="57" customFormat="1" ht="15.75" customHeight="1" x14ac:dyDescent="0.2"/>
    <row r="917" s="57" customFormat="1" ht="15.75" customHeight="1" x14ac:dyDescent="0.2"/>
    <row r="918" s="57" customFormat="1" ht="15.75" customHeight="1" x14ac:dyDescent="0.2"/>
    <row r="919" s="57" customFormat="1" ht="15.75" customHeight="1" x14ac:dyDescent="0.2"/>
    <row r="920" s="57" customFormat="1" ht="15.75" customHeight="1" x14ac:dyDescent="0.2"/>
    <row r="921" s="57" customFormat="1" ht="15.75" customHeight="1" x14ac:dyDescent="0.2"/>
    <row r="922" s="57" customFormat="1" ht="15.75" customHeight="1" x14ac:dyDescent="0.2"/>
    <row r="923" s="57" customFormat="1" ht="15.75" customHeight="1" x14ac:dyDescent="0.2"/>
    <row r="924" s="57" customFormat="1" ht="15.75" customHeight="1" x14ac:dyDescent="0.2"/>
    <row r="925" s="57" customFormat="1" ht="15.75" customHeight="1" x14ac:dyDescent="0.2"/>
    <row r="926" s="57" customFormat="1" ht="15.75" customHeight="1" x14ac:dyDescent="0.2"/>
    <row r="927" s="57" customFormat="1" ht="15.75" customHeight="1" x14ac:dyDescent="0.2"/>
    <row r="928" s="57" customFormat="1" ht="15.75" customHeight="1" x14ac:dyDescent="0.2"/>
    <row r="929" s="57" customFormat="1" ht="15.75" customHeight="1" x14ac:dyDescent="0.2"/>
    <row r="930" s="57" customFormat="1" ht="15.75" customHeight="1" x14ac:dyDescent="0.2"/>
    <row r="931" s="57" customFormat="1" ht="15.75" customHeight="1" x14ac:dyDescent="0.2"/>
    <row r="932" s="57" customFormat="1" ht="15.75" customHeight="1" x14ac:dyDescent="0.2"/>
    <row r="933" s="57" customFormat="1" ht="15.75" customHeight="1" x14ac:dyDescent="0.2"/>
    <row r="934" s="57" customFormat="1" ht="15.75" customHeight="1" x14ac:dyDescent="0.2"/>
    <row r="935" s="57" customFormat="1" ht="15.75" customHeight="1" x14ac:dyDescent="0.2"/>
    <row r="936" s="57" customFormat="1" ht="15.75" customHeight="1" x14ac:dyDescent="0.2"/>
    <row r="937" s="57" customFormat="1" ht="15.75" customHeight="1" x14ac:dyDescent="0.2"/>
    <row r="938" s="57" customFormat="1" ht="15.75" customHeight="1" x14ac:dyDescent="0.2"/>
    <row r="939" s="57" customFormat="1" ht="15.75" customHeight="1" x14ac:dyDescent="0.2"/>
    <row r="940" s="57" customFormat="1" ht="15.75" customHeight="1" x14ac:dyDescent="0.2"/>
    <row r="941" s="57" customFormat="1" ht="15.75" customHeight="1" x14ac:dyDescent="0.2"/>
    <row r="942" s="57" customFormat="1" ht="15.75" customHeight="1" x14ac:dyDescent="0.2"/>
    <row r="943" s="57" customFormat="1" ht="15.75" customHeight="1" x14ac:dyDescent="0.2"/>
    <row r="944" s="57" customFormat="1" ht="15.75" customHeight="1" x14ac:dyDescent="0.2"/>
    <row r="945" s="57" customFormat="1" ht="15.75" customHeight="1" x14ac:dyDescent="0.2"/>
    <row r="946" s="57" customFormat="1" ht="15.75" customHeight="1" x14ac:dyDescent="0.2"/>
    <row r="947" s="57" customFormat="1" ht="15.75" customHeight="1" x14ac:dyDescent="0.2"/>
    <row r="948" s="57" customFormat="1" ht="15.75" customHeight="1" x14ac:dyDescent="0.2"/>
    <row r="949" s="57" customFormat="1" ht="15.75" customHeight="1" x14ac:dyDescent="0.2"/>
    <row r="950" s="57" customFormat="1" ht="15.75" customHeight="1" x14ac:dyDescent="0.2"/>
    <row r="951" s="57" customFormat="1" ht="15.75" customHeight="1" x14ac:dyDescent="0.2"/>
    <row r="952" s="57" customFormat="1" ht="15.75" customHeight="1" x14ac:dyDescent="0.2"/>
    <row r="953" s="57" customFormat="1" ht="15.75" customHeight="1" x14ac:dyDescent="0.2"/>
    <row r="954" s="57" customFormat="1" ht="15.75" customHeight="1" x14ac:dyDescent="0.2"/>
    <row r="955" s="57" customFormat="1" ht="15.75" customHeight="1" x14ac:dyDescent="0.2"/>
    <row r="956" s="57" customFormat="1" ht="15.75" customHeight="1" x14ac:dyDescent="0.2"/>
    <row r="957" s="57" customFormat="1" ht="15.75" customHeight="1" x14ac:dyDescent="0.2"/>
    <row r="958" s="57" customFormat="1" ht="15.75" customHeight="1" x14ac:dyDescent="0.2"/>
    <row r="959" s="57" customFormat="1" ht="15.75" customHeight="1" x14ac:dyDescent="0.2"/>
    <row r="960" s="57" customFormat="1" ht="15.75" customHeight="1" x14ac:dyDescent="0.2"/>
    <row r="961" s="57" customFormat="1" ht="15.75" customHeight="1" x14ac:dyDescent="0.2"/>
    <row r="962" s="57" customFormat="1" ht="15.75" customHeight="1" x14ac:dyDescent="0.2"/>
    <row r="963" s="57" customFormat="1" ht="15.75" customHeight="1" x14ac:dyDescent="0.2"/>
    <row r="964" s="57" customFormat="1" ht="15.75" customHeight="1" x14ac:dyDescent="0.2"/>
    <row r="965" s="57" customFormat="1" ht="15.75" customHeight="1" x14ac:dyDescent="0.2"/>
    <row r="966" s="57" customFormat="1" ht="15.75" customHeight="1" x14ac:dyDescent="0.2"/>
    <row r="967" s="57" customFormat="1" ht="15.75" customHeight="1" x14ac:dyDescent="0.2"/>
    <row r="968" s="57" customFormat="1" ht="15.75" customHeight="1" x14ac:dyDescent="0.2"/>
    <row r="969" s="57" customFormat="1" ht="15.75" customHeight="1" x14ac:dyDescent="0.2"/>
    <row r="970" s="57" customFormat="1" ht="15.75" customHeight="1" x14ac:dyDescent="0.2"/>
    <row r="971" s="57" customFormat="1" ht="15.75" customHeight="1" x14ac:dyDescent="0.2"/>
    <row r="972" s="57" customFormat="1" ht="15.75" customHeight="1" x14ac:dyDescent="0.2"/>
    <row r="973" s="57" customFormat="1" ht="15.75" customHeight="1" x14ac:dyDescent="0.2"/>
    <row r="974" s="57" customFormat="1" ht="15.75" customHeight="1" x14ac:dyDescent="0.2"/>
    <row r="975" s="57" customFormat="1" ht="15.75" customHeight="1" x14ac:dyDescent="0.2"/>
    <row r="976" s="57" customFormat="1" ht="15.75" customHeight="1" x14ac:dyDescent="0.2"/>
    <row r="977" s="57" customFormat="1" ht="15.75" customHeight="1" x14ac:dyDescent="0.2"/>
    <row r="978" s="57" customFormat="1" ht="15.75" customHeight="1" x14ac:dyDescent="0.2"/>
    <row r="979" s="57" customFormat="1" ht="15.75" customHeight="1" x14ac:dyDescent="0.2"/>
    <row r="980" s="57" customFormat="1" ht="15.75" customHeight="1" x14ac:dyDescent="0.2"/>
    <row r="981" s="57" customFormat="1" ht="15.75" customHeight="1" x14ac:dyDescent="0.2"/>
    <row r="982" s="57" customFormat="1" ht="15.75" customHeight="1" x14ac:dyDescent="0.2"/>
    <row r="983" s="57" customFormat="1" ht="15.75" customHeight="1" x14ac:dyDescent="0.2"/>
    <row r="984" s="57" customFormat="1" ht="15.75" customHeight="1" x14ac:dyDescent="0.2"/>
    <row r="985" s="57" customFormat="1" ht="15.75" customHeight="1" x14ac:dyDescent="0.2"/>
    <row r="986" s="57" customFormat="1" ht="15.75" customHeight="1" x14ac:dyDescent="0.2"/>
    <row r="987" s="57" customFormat="1" ht="15.75" customHeight="1" x14ac:dyDescent="0.2"/>
    <row r="988" s="57" customFormat="1" ht="15.75" customHeight="1" x14ac:dyDescent="0.2"/>
    <row r="989" s="57" customFormat="1" ht="15.75" customHeight="1" x14ac:dyDescent="0.2"/>
    <row r="990" s="57" customFormat="1" ht="15.75" customHeight="1" x14ac:dyDescent="0.2"/>
    <row r="991" s="57" customFormat="1" ht="15.75" customHeight="1" x14ac:dyDescent="0.2"/>
    <row r="992" s="57" customFormat="1" ht="15.75" customHeight="1" x14ac:dyDescent="0.2"/>
    <row r="993" s="57" customFormat="1" ht="15.75" customHeight="1" x14ac:dyDescent="0.2"/>
    <row r="994" s="57" customFormat="1" ht="15.75" customHeight="1" x14ac:dyDescent="0.2"/>
    <row r="995" s="57" customFormat="1" ht="15.75" customHeight="1" x14ac:dyDescent="0.2"/>
    <row r="996" s="57" customFormat="1" ht="15.75" customHeight="1" x14ac:dyDescent="0.2"/>
    <row r="997" s="57" customFormat="1" ht="15.75" customHeight="1" x14ac:dyDescent="0.2"/>
    <row r="998" s="57" customFormat="1" ht="15.75" customHeight="1" x14ac:dyDescent="0.2"/>
    <row r="999" s="57" customFormat="1" ht="15.75" customHeight="1" x14ac:dyDescent="0.2"/>
  </sheetData>
  <sortState xmlns:xlrd2="http://schemas.microsoft.com/office/spreadsheetml/2017/richdata2" ref="B33:B34">
    <sortCondition descending="1" ref="B34"/>
  </sortState>
  <mergeCells count="3">
    <mergeCell ref="G18:H18"/>
    <mergeCell ref="G29:H29"/>
    <mergeCell ref="G36:H36"/>
  </mergeCells>
  <conditionalFormatting sqref="B2:H13">
    <cfRule type="cellIs" dxfId="30" priority="12" operator="equal">
      <formula>0</formula>
    </cfRule>
  </conditionalFormatting>
  <conditionalFormatting sqref="A15:A35">
    <cfRule type="cellIs" dxfId="29" priority="4" operator="equal">
      <formula>0</formula>
    </cfRule>
  </conditionalFormatting>
  <conditionalFormatting sqref="A14:E14 C15:E48 C49:C53">
    <cfRule type="cellIs" dxfId="28" priority="3" operator="equal">
      <formula>0</formula>
    </cfRule>
  </conditionalFormatting>
  <conditionalFormatting sqref="B15:B52">
    <cfRule type="cellIs" dxfId="27" priority="2" operator="equal">
      <formula>0</formula>
    </cfRule>
  </conditionalFormatting>
  <conditionalFormatting sqref="A36:A50">
    <cfRule type="cellIs" dxfId="26" priority="1" operator="equal">
      <formula>0</formula>
    </cfRule>
  </conditionalFormatting>
  <pageMargins left="0.3" right="0" top="0.5" bottom="0" header="0" footer="0"/>
  <pageSetup scale="99" orientation="portrait" verticalDpi="4294967294" r:id="rId1"/>
  <headerFooter>
    <oddHeader>&amp;C&amp;"Arial Black,Regular"&amp;20TUESDAY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C115E-9AE9-4CC3-85A0-682D1C87C9E4}">
  <sheetPr>
    <pageSetUpPr fitToPage="1"/>
  </sheetPr>
  <dimension ref="A1:E36"/>
  <sheetViews>
    <sheetView workbookViewId="0">
      <selection sqref="A1:XFD1048576"/>
    </sheetView>
  </sheetViews>
  <sheetFormatPr defaultRowHeight="15" x14ac:dyDescent="0.25"/>
  <cols>
    <col min="1" max="1" width="10.7109375" style="43" customWidth="1"/>
    <col min="2" max="3" width="32.7109375" customWidth="1"/>
    <col min="4" max="4" width="10.7109375" style="43" customWidth="1"/>
    <col min="5" max="5" width="32.7109375" customWidth="1"/>
  </cols>
  <sheetData>
    <row r="1" spans="1:5" ht="24.95" customHeight="1" thickBot="1" x14ac:dyDescent="0.3">
      <c r="A1" s="89" t="s">
        <v>69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5" t="s">
        <v>71</v>
      </c>
      <c r="E2" s="96"/>
    </row>
    <row r="3" spans="1:5" ht="24.95" customHeight="1" thickBot="1" x14ac:dyDescent="0.3">
      <c r="A3" s="42" t="s">
        <v>80</v>
      </c>
      <c r="B3" s="38"/>
      <c r="C3" s="38"/>
      <c r="D3" s="87" t="s">
        <v>80</v>
      </c>
      <c r="E3" s="39"/>
    </row>
    <row r="4" spans="1:5" ht="24.95" customHeight="1" thickBot="1" x14ac:dyDescent="0.3">
      <c r="A4" s="42" t="s">
        <v>97</v>
      </c>
      <c r="B4" s="39"/>
      <c r="C4" s="38"/>
      <c r="D4" s="88"/>
      <c r="E4" s="38"/>
    </row>
    <row r="5" spans="1:5" ht="24.95" customHeight="1" thickBot="1" x14ac:dyDescent="0.3">
      <c r="A5" s="42" t="s">
        <v>81</v>
      </c>
      <c r="B5" s="39"/>
      <c r="C5" s="38"/>
      <c r="D5" s="87" t="s">
        <v>81</v>
      </c>
      <c r="E5" s="39"/>
    </row>
    <row r="6" spans="1:5" ht="24.95" customHeight="1" thickBot="1" x14ac:dyDescent="0.3">
      <c r="A6" s="42" t="s">
        <v>98</v>
      </c>
      <c r="B6" s="40"/>
      <c r="C6" s="38"/>
      <c r="D6" s="88"/>
      <c r="E6" s="38"/>
    </row>
    <row r="7" spans="1:5" ht="24.95" customHeight="1" thickBot="1" x14ac:dyDescent="0.3">
      <c r="A7" s="42" t="s">
        <v>82</v>
      </c>
      <c r="B7" s="39"/>
      <c r="C7" s="38"/>
      <c r="D7" s="87" t="s">
        <v>82</v>
      </c>
      <c r="E7" s="39"/>
    </row>
    <row r="8" spans="1:5" ht="24.95" customHeight="1" thickBot="1" x14ac:dyDescent="0.3">
      <c r="A8" s="42" t="s">
        <v>99</v>
      </c>
      <c r="B8" s="40"/>
      <c r="C8" s="38"/>
      <c r="D8" s="88"/>
      <c r="E8" s="38"/>
    </row>
    <row r="9" spans="1:5" ht="24.95" customHeight="1" thickBot="1" x14ac:dyDescent="0.3">
      <c r="A9" s="42" t="s">
        <v>83</v>
      </c>
      <c r="B9" s="39"/>
      <c r="C9" s="38"/>
      <c r="D9" s="87" t="s">
        <v>83</v>
      </c>
      <c r="E9" s="39"/>
    </row>
    <row r="10" spans="1:5" ht="24.95" customHeight="1" thickBot="1" x14ac:dyDescent="0.3">
      <c r="A10" s="42" t="s">
        <v>100</v>
      </c>
      <c r="B10" s="40"/>
      <c r="C10" s="38"/>
      <c r="D10" s="88"/>
      <c r="E10" s="38"/>
    </row>
    <row r="11" spans="1:5" ht="24.95" customHeight="1" thickBot="1" x14ac:dyDescent="0.3">
      <c r="A11" s="42" t="s">
        <v>84</v>
      </c>
      <c r="B11" s="39"/>
      <c r="C11" s="38"/>
      <c r="D11" s="87" t="s">
        <v>84</v>
      </c>
      <c r="E11" s="40"/>
    </row>
    <row r="12" spans="1:5" ht="24.95" customHeight="1" thickBot="1" x14ac:dyDescent="0.3">
      <c r="A12" s="42" t="s">
        <v>101</v>
      </c>
      <c r="B12" s="39"/>
      <c r="C12" s="38"/>
      <c r="D12" s="88"/>
      <c r="E12" s="38"/>
    </row>
    <row r="13" spans="1:5" ht="24.95" customHeight="1" thickBot="1" x14ac:dyDescent="0.3">
      <c r="A13" s="42" t="s">
        <v>85</v>
      </c>
      <c r="B13" s="39"/>
      <c r="C13" s="38"/>
      <c r="D13" s="87" t="s">
        <v>85</v>
      </c>
      <c r="E13" s="39"/>
    </row>
    <row r="14" spans="1:5" ht="24.95" customHeight="1" thickBot="1" x14ac:dyDescent="0.3">
      <c r="A14" s="42" t="s">
        <v>102</v>
      </c>
      <c r="B14" s="39"/>
      <c r="C14" s="38"/>
      <c r="D14" s="88"/>
      <c r="E14" s="38"/>
    </row>
    <row r="15" spans="1:5" ht="24.95" customHeight="1" thickBot="1" x14ac:dyDescent="0.3">
      <c r="A15" s="42" t="s">
        <v>86</v>
      </c>
      <c r="B15" s="39"/>
      <c r="C15" s="70"/>
      <c r="D15" s="87" t="s">
        <v>86</v>
      </c>
      <c r="E15" s="38"/>
    </row>
    <row r="16" spans="1:5" ht="24.95" customHeight="1" thickBot="1" x14ac:dyDescent="0.3">
      <c r="A16" s="42" t="s">
        <v>103</v>
      </c>
      <c r="B16" s="39"/>
      <c r="C16" s="70"/>
      <c r="D16" s="88"/>
      <c r="E16" s="38"/>
    </row>
    <row r="17" spans="1:5" ht="24.95" customHeight="1" thickBot="1" x14ac:dyDescent="0.3">
      <c r="A17" s="42" t="s">
        <v>87</v>
      </c>
      <c r="B17" s="39"/>
      <c r="C17" s="38"/>
      <c r="D17" s="87" t="s">
        <v>87</v>
      </c>
      <c r="E17" s="39"/>
    </row>
    <row r="18" spans="1:5" ht="24.95" customHeight="1" thickBot="1" x14ac:dyDescent="0.3">
      <c r="A18" s="42" t="s">
        <v>104</v>
      </c>
      <c r="B18" s="39"/>
      <c r="C18" s="38"/>
      <c r="D18" s="88"/>
      <c r="E18" s="38"/>
    </row>
    <row r="19" spans="1:5" ht="24.95" customHeight="1" thickBot="1" x14ac:dyDescent="0.3">
      <c r="A19" s="42" t="s">
        <v>88</v>
      </c>
      <c r="B19" s="38"/>
      <c r="C19" s="38"/>
      <c r="D19" s="87" t="s">
        <v>88</v>
      </c>
      <c r="E19" s="39"/>
    </row>
    <row r="20" spans="1:5" ht="24.95" customHeight="1" thickBot="1" x14ac:dyDescent="0.3">
      <c r="A20" s="42" t="s">
        <v>105</v>
      </c>
      <c r="B20" s="70"/>
      <c r="C20" s="38"/>
      <c r="D20" s="88"/>
      <c r="E20" s="38"/>
    </row>
    <row r="21" spans="1:5" ht="24.95" customHeight="1" thickBot="1" x14ac:dyDescent="0.3">
      <c r="A21" s="42" t="s">
        <v>89</v>
      </c>
      <c r="B21" s="39"/>
      <c r="C21" s="38"/>
      <c r="D21" s="87" t="s">
        <v>89</v>
      </c>
      <c r="E21" s="41"/>
    </row>
    <row r="22" spans="1:5" ht="24.95" customHeight="1" thickBot="1" x14ac:dyDescent="0.3">
      <c r="A22" s="42" t="s">
        <v>106</v>
      </c>
      <c r="B22" s="39"/>
      <c r="C22" s="38"/>
      <c r="D22" s="88"/>
      <c r="E22" s="38"/>
    </row>
    <row r="23" spans="1:5" ht="24.95" customHeight="1" thickBot="1" x14ac:dyDescent="0.3">
      <c r="A23" s="42" t="s">
        <v>90</v>
      </c>
      <c r="B23" s="39"/>
      <c r="C23" s="39"/>
      <c r="D23" s="87" t="s">
        <v>90</v>
      </c>
      <c r="E23" s="39"/>
    </row>
    <row r="24" spans="1:5" ht="24.95" customHeight="1" thickBot="1" x14ac:dyDescent="0.3">
      <c r="A24" s="42" t="s">
        <v>107</v>
      </c>
      <c r="B24" s="40"/>
      <c r="C24" s="38"/>
      <c r="D24" s="88"/>
      <c r="E24" s="39"/>
    </row>
    <row r="25" spans="1:5" ht="24.95" customHeight="1" thickBot="1" x14ac:dyDescent="0.3">
      <c r="A25" s="42" t="s">
        <v>91</v>
      </c>
      <c r="B25" s="39"/>
      <c r="C25" s="39"/>
      <c r="D25" s="87" t="s">
        <v>91</v>
      </c>
      <c r="E25" s="39"/>
    </row>
    <row r="26" spans="1:5" ht="24.95" customHeight="1" thickBot="1" x14ac:dyDescent="0.3">
      <c r="A26" s="42" t="s">
        <v>108</v>
      </c>
      <c r="B26" s="40"/>
      <c r="C26" s="38"/>
      <c r="D26" s="88"/>
      <c r="E26" s="39"/>
    </row>
    <row r="27" spans="1:5" ht="24.95" customHeight="1" thickBot="1" x14ac:dyDescent="0.3">
      <c r="A27" s="42" t="s">
        <v>92</v>
      </c>
      <c r="B27" s="39"/>
      <c r="C27" s="39"/>
      <c r="D27" s="87" t="s">
        <v>92</v>
      </c>
      <c r="E27" s="39"/>
    </row>
    <row r="28" spans="1:5" ht="24.95" customHeight="1" thickBot="1" x14ac:dyDescent="0.3">
      <c r="A28" s="42" t="s">
        <v>109</v>
      </c>
      <c r="B28" s="39"/>
      <c r="C28" s="38"/>
      <c r="D28" s="88"/>
      <c r="E28" s="39"/>
    </row>
    <row r="29" spans="1:5" ht="24.95" customHeight="1" thickBot="1" x14ac:dyDescent="0.3">
      <c r="A29" s="42" t="s">
        <v>93</v>
      </c>
      <c r="B29" s="39"/>
      <c r="C29" s="38"/>
      <c r="D29" s="87" t="s">
        <v>93</v>
      </c>
      <c r="E29" s="39"/>
    </row>
    <row r="30" spans="1:5" ht="24.95" customHeight="1" thickBot="1" x14ac:dyDescent="0.3">
      <c r="A30" s="42" t="s">
        <v>110</v>
      </c>
      <c r="B30" s="40"/>
      <c r="C30" s="38"/>
      <c r="D30" s="88"/>
      <c r="E30" s="39"/>
    </row>
    <row r="31" spans="1:5" ht="24.95" customHeight="1" thickBot="1" x14ac:dyDescent="0.3">
      <c r="A31" s="42" t="s">
        <v>94</v>
      </c>
      <c r="B31" s="39"/>
      <c r="C31" s="38"/>
      <c r="D31" s="87" t="s">
        <v>94</v>
      </c>
      <c r="E31" s="39"/>
    </row>
    <row r="32" spans="1:5" ht="24.95" customHeight="1" thickBot="1" x14ac:dyDescent="0.3">
      <c r="A32" s="42" t="s">
        <v>111</v>
      </c>
      <c r="B32" s="40"/>
      <c r="C32" s="39"/>
      <c r="D32" s="88"/>
      <c r="E32" s="39"/>
    </row>
    <row r="33" spans="1:5" ht="24.95" customHeight="1" thickBot="1" x14ac:dyDescent="0.3">
      <c r="A33" s="42" t="s">
        <v>95</v>
      </c>
      <c r="B33" s="39"/>
      <c r="C33" s="38"/>
      <c r="D33" s="87" t="s">
        <v>95</v>
      </c>
      <c r="E33" s="40"/>
    </row>
    <row r="34" spans="1:5" ht="24.95" customHeight="1" thickBot="1" x14ac:dyDescent="0.3">
      <c r="A34" s="42" t="s">
        <v>112</v>
      </c>
      <c r="B34" s="39"/>
      <c r="C34" s="38"/>
      <c r="D34" s="88"/>
      <c r="E34" s="38"/>
    </row>
    <row r="35" spans="1:5" ht="24.95" customHeight="1" thickBot="1" x14ac:dyDescent="0.3">
      <c r="A35" s="42" t="s">
        <v>96</v>
      </c>
      <c r="B35" s="39"/>
      <c r="C35" s="38"/>
      <c r="D35" s="87" t="s">
        <v>96</v>
      </c>
      <c r="E35" s="39"/>
    </row>
    <row r="36" spans="1:5" ht="24.95" customHeight="1" thickBot="1" x14ac:dyDescent="0.3">
      <c r="A36" s="42" t="s">
        <v>113</v>
      </c>
      <c r="B36" s="39"/>
      <c r="C36" s="38"/>
      <c r="D36" s="88"/>
      <c r="E36" s="38"/>
    </row>
  </sheetData>
  <mergeCells count="20">
    <mergeCell ref="D33:D34"/>
    <mergeCell ref="D35:D36"/>
    <mergeCell ref="D21:D22"/>
    <mergeCell ref="D23:D24"/>
    <mergeCell ref="D25:D26"/>
    <mergeCell ref="D27:D28"/>
    <mergeCell ref="D29:D30"/>
    <mergeCell ref="D31:D32"/>
    <mergeCell ref="D19:D20"/>
    <mergeCell ref="A1:E1"/>
    <mergeCell ref="A2:C2"/>
    <mergeCell ref="D2:E2"/>
    <mergeCell ref="D3:D4"/>
    <mergeCell ref="D5:D6"/>
    <mergeCell ref="D7:D8"/>
    <mergeCell ref="D9:D10"/>
    <mergeCell ref="D11:D12"/>
    <mergeCell ref="D13:D14"/>
    <mergeCell ref="D15:D16"/>
    <mergeCell ref="D17:D18"/>
  </mergeCells>
  <printOptions gridLines="1"/>
  <pageMargins left="0.7" right="0.7" top="0.75" bottom="0.75" header="0.3" footer="0.3"/>
  <pageSetup scale="75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1E62-1BD3-42A4-9E19-B40EECC6268C}">
  <sheetPr>
    <pageSetUpPr fitToPage="1"/>
  </sheetPr>
  <dimension ref="A1:E36"/>
  <sheetViews>
    <sheetView workbookViewId="0">
      <selection sqref="A1:XFD1048576"/>
    </sheetView>
  </sheetViews>
  <sheetFormatPr defaultRowHeight="15" x14ac:dyDescent="0.25"/>
  <cols>
    <col min="1" max="1" width="10.7109375" style="45" customWidth="1"/>
    <col min="2" max="3" width="32.7109375" customWidth="1"/>
    <col min="4" max="4" width="10.7109375" style="45" customWidth="1"/>
    <col min="5" max="5" width="32.7109375" customWidth="1"/>
  </cols>
  <sheetData>
    <row r="1" spans="1:5" ht="24.95" customHeight="1" thickBot="1" x14ac:dyDescent="0.3">
      <c r="A1" s="89" t="s">
        <v>72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2" t="s">
        <v>71</v>
      </c>
      <c r="E2" s="94"/>
    </row>
    <row r="3" spans="1:5" ht="24.95" customHeight="1" thickBot="1" x14ac:dyDescent="0.3">
      <c r="A3" s="44">
        <v>1130</v>
      </c>
      <c r="B3" s="38"/>
      <c r="C3" s="38"/>
      <c r="D3" s="46">
        <v>1130</v>
      </c>
      <c r="E3" s="39"/>
    </row>
    <row r="4" spans="1:5" ht="24.95" customHeight="1" thickBot="1" x14ac:dyDescent="0.3">
      <c r="A4" s="44">
        <v>1145</v>
      </c>
      <c r="B4" s="39"/>
      <c r="C4" s="39"/>
      <c r="D4" s="46"/>
      <c r="E4" s="39"/>
    </row>
    <row r="5" spans="1:5" ht="24.95" customHeight="1" thickBot="1" x14ac:dyDescent="0.3">
      <c r="A5" s="44">
        <v>1200</v>
      </c>
      <c r="B5" s="39"/>
      <c r="C5" s="38"/>
      <c r="D5" s="46">
        <v>1200</v>
      </c>
      <c r="E5" s="39"/>
    </row>
    <row r="6" spans="1:5" ht="24.95" customHeight="1" thickBot="1" x14ac:dyDescent="0.3">
      <c r="A6" s="44">
        <v>1215</v>
      </c>
      <c r="B6" s="39"/>
      <c r="C6" s="39"/>
      <c r="D6" s="46"/>
      <c r="E6" s="39"/>
    </row>
    <row r="7" spans="1:5" ht="24.95" customHeight="1" thickBot="1" x14ac:dyDescent="0.3">
      <c r="A7" s="44">
        <v>1230</v>
      </c>
      <c r="B7" s="39"/>
      <c r="C7" s="38"/>
      <c r="D7" s="46">
        <v>1230</v>
      </c>
      <c r="E7" s="39"/>
    </row>
    <row r="8" spans="1:5" ht="24.95" customHeight="1" thickBot="1" x14ac:dyDescent="0.3">
      <c r="A8" s="44">
        <v>1245</v>
      </c>
      <c r="B8" s="39"/>
      <c r="C8" s="39"/>
      <c r="D8" s="46"/>
      <c r="E8" s="39"/>
    </row>
    <row r="9" spans="1:5" ht="24.95" customHeight="1" thickBot="1" x14ac:dyDescent="0.3">
      <c r="A9" s="44">
        <v>1300</v>
      </c>
      <c r="B9" s="39"/>
      <c r="C9" s="38"/>
      <c r="D9" s="46">
        <v>1300</v>
      </c>
      <c r="E9" s="39"/>
    </row>
    <row r="10" spans="1:5" ht="24.95" customHeight="1" thickBot="1" x14ac:dyDescent="0.3">
      <c r="A10" s="44">
        <v>1315</v>
      </c>
      <c r="B10" s="39"/>
      <c r="C10" s="38"/>
      <c r="D10" s="46"/>
      <c r="E10" s="39"/>
    </row>
    <row r="11" spans="1:5" ht="24.95" customHeight="1" thickBot="1" x14ac:dyDescent="0.3">
      <c r="A11" s="44">
        <v>1330</v>
      </c>
      <c r="B11" s="39"/>
      <c r="C11" s="38"/>
      <c r="D11" s="46">
        <v>1330</v>
      </c>
      <c r="E11" s="39"/>
    </row>
    <row r="12" spans="1:5" ht="24.95" customHeight="1" thickBot="1" x14ac:dyDescent="0.3">
      <c r="A12" s="44">
        <v>1345</v>
      </c>
      <c r="B12" s="39"/>
      <c r="C12" s="38"/>
      <c r="D12" s="46"/>
      <c r="E12" s="40"/>
    </row>
    <row r="13" spans="1:5" ht="24.95" customHeight="1" thickBot="1" x14ac:dyDescent="0.3">
      <c r="A13" s="44">
        <v>1400</v>
      </c>
      <c r="B13" s="39"/>
      <c r="C13" s="39"/>
      <c r="D13" s="46">
        <v>1400</v>
      </c>
      <c r="E13" s="39"/>
    </row>
    <row r="14" spans="1:5" ht="24.95" customHeight="1" thickBot="1" x14ac:dyDescent="0.3">
      <c r="A14" s="44">
        <v>1415</v>
      </c>
      <c r="B14" s="39"/>
      <c r="C14" s="40"/>
      <c r="D14" s="47"/>
      <c r="E14" s="38"/>
    </row>
    <row r="15" spans="1:5" ht="24.95" customHeight="1" thickBot="1" x14ac:dyDescent="0.3">
      <c r="A15" s="44">
        <v>1430</v>
      </c>
      <c r="B15" s="39"/>
      <c r="C15" s="38"/>
      <c r="D15" s="46">
        <v>1430</v>
      </c>
      <c r="E15" s="39"/>
    </row>
    <row r="16" spans="1:5" ht="24.95" customHeight="1" thickBot="1" x14ac:dyDescent="0.3">
      <c r="A16" s="44">
        <v>1445</v>
      </c>
      <c r="B16" s="39"/>
      <c r="C16" s="40"/>
      <c r="D16" s="47"/>
      <c r="E16" s="38"/>
    </row>
    <row r="17" spans="1:5" ht="24.95" customHeight="1" thickBot="1" x14ac:dyDescent="0.3">
      <c r="A17" s="44">
        <v>1500</v>
      </c>
      <c r="B17" s="39"/>
      <c r="C17" s="38"/>
      <c r="D17" s="46">
        <v>1500</v>
      </c>
      <c r="E17" s="39"/>
    </row>
    <row r="18" spans="1:5" ht="24.95" customHeight="1" thickBot="1" x14ac:dyDescent="0.3">
      <c r="A18" s="44">
        <v>1515</v>
      </c>
      <c r="B18" s="39"/>
      <c r="C18" s="40"/>
      <c r="D18" s="47"/>
      <c r="E18" s="38"/>
    </row>
    <row r="19" spans="1:5" ht="24.95" customHeight="1" thickBot="1" x14ac:dyDescent="0.3">
      <c r="A19" s="44">
        <v>1530</v>
      </c>
      <c r="B19" s="39"/>
      <c r="C19" s="38"/>
      <c r="D19" s="46">
        <v>1530</v>
      </c>
      <c r="E19" s="39"/>
    </row>
    <row r="20" spans="1:5" ht="24.95" customHeight="1" thickBot="1" x14ac:dyDescent="0.3">
      <c r="A20" s="44">
        <v>1545</v>
      </c>
      <c r="B20" s="39"/>
      <c r="C20" s="40"/>
      <c r="D20" s="47"/>
      <c r="E20" s="38"/>
    </row>
    <row r="21" spans="1:5" ht="24.95" customHeight="1" thickBot="1" x14ac:dyDescent="0.3">
      <c r="A21" s="44">
        <v>1600</v>
      </c>
      <c r="B21" s="39"/>
      <c r="C21" s="38"/>
      <c r="D21" s="46">
        <v>1600</v>
      </c>
      <c r="E21" s="39"/>
    </row>
    <row r="22" spans="1:5" ht="24.95" customHeight="1" thickBot="1" x14ac:dyDescent="0.3">
      <c r="A22" s="44">
        <v>1615</v>
      </c>
      <c r="B22" s="39"/>
      <c r="C22" s="40"/>
      <c r="D22" s="47"/>
      <c r="E22" s="38"/>
    </row>
    <row r="23" spans="1:5" ht="24.95" customHeight="1" thickBot="1" x14ac:dyDescent="0.3">
      <c r="A23" s="44">
        <v>1630</v>
      </c>
      <c r="B23" s="39"/>
      <c r="C23" s="38"/>
      <c r="D23" s="46">
        <v>1630</v>
      </c>
      <c r="E23" s="39"/>
    </row>
    <row r="24" spans="1:5" ht="24.95" customHeight="1" thickBot="1" x14ac:dyDescent="0.3">
      <c r="A24" s="44">
        <v>1645</v>
      </c>
      <c r="B24" s="39"/>
      <c r="C24" s="40"/>
      <c r="D24" s="47"/>
      <c r="E24" s="38"/>
    </row>
    <row r="25" spans="1:5" ht="24.95" customHeight="1" thickBot="1" x14ac:dyDescent="0.3">
      <c r="A25" s="44">
        <v>1700</v>
      </c>
      <c r="B25" s="39"/>
      <c r="C25" s="38"/>
      <c r="D25" s="46">
        <v>1700</v>
      </c>
      <c r="E25" s="39"/>
    </row>
    <row r="26" spans="1:5" ht="24.95" customHeight="1" thickBot="1" x14ac:dyDescent="0.3">
      <c r="A26" s="44">
        <v>1715</v>
      </c>
      <c r="B26" s="39"/>
      <c r="C26" s="38"/>
      <c r="D26" s="47"/>
      <c r="E26" s="38"/>
    </row>
    <row r="27" spans="1:5" ht="24.95" customHeight="1" thickBot="1" x14ac:dyDescent="0.3">
      <c r="A27" s="44">
        <v>1730</v>
      </c>
      <c r="B27" s="39"/>
      <c r="C27" s="38"/>
      <c r="D27" s="46">
        <v>1730</v>
      </c>
      <c r="E27" s="39"/>
    </row>
    <row r="28" spans="1:5" ht="24.95" customHeight="1" thickBot="1" x14ac:dyDescent="0.3">
      <c r="A28" s="44">
        <v>1745</v>
      </c>
      <c r="B28" s="39"/>
      <c r="C28" s="40"/>
      <c r="D28" s="46"/>
      <c r="E28" s="39"/>
    </row>
    <row r="29" spans="1:5" ht="24.95" customHeight="1" thickBot="1" x14ac:dyDescent="0.3">
      <c r="A29" s="44">
        <v>1800</v>
      </c>
      <c r="B29" s="39"/>
      <c r="C29" s="38"/>
      <c r="D29" s="46">
        <v>1800</v>
      </c>
      <c r="E29" s="39"/>
    </row>
    <row r="30" spans="1:5" ht="24.95" customHeight="1" thickBot="1" x14ac:dyDescent="0.3">
      <c r="A30" s="44">
        <v>1815</v>
      </c>
      <c r="B30" s="39"/>
      <c r="C30" s="39"/>
      <c r="D30" s="46"/>
      <c r="E30" s="39"/>
    </row>
    <row r="31" spans="1:5" ht="24.95" customHeight="1" thickBot="1" x14ac:dyDescent="0.3">
      <c r="A31" s="44">
        <v>1830</v>
      </c>
      <c r="B31" s="39"/>
      <c r="C31" s="39"/>
      <c r="D31" s="46">
        <v>1830</v>
      </c>
      <c r="E31" s="39"/>
    </row>
    <row r="32" spans="1:5" ht="24.95" customHeight="1" thickBot="1" x14ac:dyDescent="0.3">
      <c r="A32" s="44">
        <v>1845</v>
      </c>
      <c r="B32" s="39"/>
      <c r="C32" s="40"/>
      <c r="D32" s="46"/>
      <c r="E32" s="39"/>
    </row>
    <row r="33" spans="1:5" ht="24.95" customHeight="1" thickBot="1" x14ac:dyDescent="0.3">
      <c r="A33" s="44">
        <v>1900</v>
      </c>
      <c r="B33" s="39"/>
      <c r="C33" s="38"/>
      <c r="D33" s="46">
        <v>1900</v>
      </c>
      <c r="E33" s="39"/>
    </row>
    <row r="34" spans="1:5" ht="24.95" customHeight="1" thickBot="1" x14ac:dyDescent="0.3">
      <c r="A34" s="44">
        <v>1915</v>
      </c>
      <c r="B34" s="39"/>
      <c r="C34" s="39"/>
      <c r="D34" s="46"/>
      <c r="E34" s="39"/>
    </row>
    <row r="35" spans="1:5" ht="24.95" customHeight="1" thickBot="1" x14ac:dyDescent="0.3">
      <c r="A35" s="44">
        <v>1930</v>
      </c>
      <c r="B35" s="39"/>
      <c r="C35" s="38"/>
      <c r="D35" s="46">
        <v>1930</v>
      </c>
      <c r="E35" s="39"/>
    </row>
    <row r="36" spans="1:5" ht="24.95" customHeight="1" thickBot="1" x14ac:dyDescent="0.3">
      <c r="A36" s="44">
        <v>1945</v>
      </c>
      <c r="B36" s="39"/>
      <c r="C36" s="40"/>
      <c r="D36" s="46"/>
      <c r="E36" s="39"/>
    </row>
  </sheetData>
  <mergeCells count="3">
    <mergeCell ref="A1:E1"/>
    <mergeCell ref="A2:C2"/>
    <mergeCell ref="D2:E2"/>
  </mergeCells>
  <pageMargins left="0.7" right="0.7" top="0.75" bottom="0.75" header="0.3" footer="0.3"/>
  <pageSetup scale="7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ABC3A-E765-4984-B649-3D332AE3D63B}">
  <sheetPr>
    <pageSetUpPr fitToPage="1"/>
  </sheetPr>
  <dimension ref="A1:E36"/>
  <sheetViews>
    <sheetView zoomScale="90" zoomScaleNormal="90" workbookViewId="0">
      <selection activeCell="D30" sqref="C30:D30"/>
    </sheetView>
  </sheetViews>
  <sheetFormatPr defaultRowHeight="15" x14ac:dyDescent="0.25"/>
  <cols>
    <col min="1" max="1" width="10.7109375" style="43" customWidth="1"/>
    <col min="2" max="3" width="32.7109375" customWidth="1"/>
    <col min="4" max="4" width="10.7109375" style="43" customWidth="1"/>
    <col min="5" max="5" width="32.7109375" customWidth="1"/>
  </cols>
  <sheetData>
    <row r="1" spans="1:5" ht="24.95" customHeight="1" thickBot="1" x14ac:dyDescent="0.3">
      <c r="A1" s="89" t="s">
        <v>73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2" t="s">
        <v>71</v>
      </c>
      <c r="E2" s="94"/>
    </row>
    <row r="3" spans="1:5" ht="24.95" customHeight="1" thickBot="1" x14ac:dyDescent="0.3">
      <c r="A3" s="42">
        <v>2000</v>
      </c>
      <c r="B3" s="39"/>
      <c r="C3" s="38"/>
      <c r="D3" s="48">
        <v>2000</v>
      </c>
      <c r="E3" s="39"/>
    </row>
    <row r="4" spans="1:5" ht="24.95" customHeight="1" thickBot="1" x14ac:dyDescent="0.3">
      <c r="A4" s="42">
        <v>2015</v>
      </c>
      <c r="B4" s="39"/>
      <c r="C4" s="40"/>
      <c r="D4" s="49"/>
      <c r="E4" s="38"/>
    </row>
    <row r="5" spans="1:5" ht="24.95" customHeight="1" thickBot="1" x14ac:dyDescent="0.3">
      <c r="A5" s="42">
        <v>2030</v>
      </c>
      <c r="B5" s="39"/>
      <c r="C5" s="38"/>
      <c r="D5" s="48">
        <v>2030</v>
      </c>
      <c r="E5" s="39"/>
    </row>
    <row r="6" spans="1:5" ht="24.95" customHeight="1" thickBot="1" x14ac:dyDescent="0.3">
      <c r="A6" s="42">
        <v>2045</v>
      </c>
      <c r="B6" s="40"/>
      <c r="C6" s="40"/>
      <c r="D6" s="49"/>
      <c r="E6" s="38"/>
    </row>
    <row r="7" spans="1:5" ht="24.95" customHeight="1" thickBot="1" x14ac:dyDescent="0.3">
      <c r="A7" s="42">
        <v>2100</v>
      </c>
      <c r="B7" s="38"/>
      <c r="C7" s="38"/>
      <c r="D7" s="48">
        <v>2100</v>
      </c>
      <c r="E7" s="39"/>
    </row>
    <row r="8" spans="1:5" ht="24.95" customHeight="1" thickBot="1" x14ac:dyDescent="0.3">
      <c r="A8" s="42">
        <v>2115</v>
      </c>
      <c r="B8" s="39"/>
      <c r="C8" s="38"/>
      <c r="D8" s="49"/>
      <c r="E8" s="38"/>
    </row>
    <row r="9" spans="1:5" ht="24.95" customHeight="1" thickBot="1" x14ac:dyDescent="0.3">
      <c r="A9" s="42">
        <v>2130</v>
      </c>
      <c r="B9" s="39"/>
      <c r="C9" s="39"/>
      <c r="D9" s="48">
        <v>2130</v>
      </c>
      <c r="E9" s="40"/>
    </row>
    <row r="10" spans="1:5" ht="24.95" customHeight="1" thickBot="1" x14ac:dyDescent="0.3">
      <c r="A10" s="42">
        <v>2145</v>
      </c>
      <c r="B10" s="39"/>
      <c r="C10" s="38"/>
      <c r="D10" s="48"/>
      <c r="E10" s="40"/>
    </row>
    <row r="11" spans="1:5" ht="24.95" customHeight="1" thickBot="1" x14ac:dyDescent="0.3">
      <c r="A11" s="42">
        <v>2200</v>
      </c>
      <c r="B11" s="39"/>
      <c r="C11" s="39"/>
      <c r="D11" s="48">
        <v>2200</v>
      </c>
      <c r="E11" s="40"/>
    </row>
    <row r="12" spans="1:5" ht="24.95" customHeight="1" thickBot="1" x14ac:dyDescent="0.3">
      <c r="A12" s="42">
        <v>2215</v>
      </c>
      <c r="B12" s="39"/>
      <c r="C12" s="38"/>
      <c r="D12" s="48"/>
      <c r="E12" s="40"/>
    </row>
    <row r="13" spans="1:5" ht="24.95" customHeight="1" thickBot="1" x14ac:dyDescent="0.3">
      <c r="A13" s="42">
        <v>2230</v>
      </c>
      <c r="B13" s="39"/>
      <c r="C13" s="39"/>
      <c r="D13" s="48">
        <v>2230</v>
      </c>
      <c r="E13" s="40"/>
    </row>
    <row r="14" spans="1:5" ht="24.95" customHeight="1" thickBot="1" x14ac:dyDescent="0.3">
      <c r="A14" s="42">
        <v>2245</v>
      </c>
      <c r="B14" s="39"/>
      <c r="C14" s="38"/>
      <c r="D14" s="48"/>
      <c r="E14" s="40"/>
    </row>
    <row r="15" spans="1:5" ht="24.95" customHeight="1" thickBot="1" x14ac:dyDescent="0.3">
      <c r="A15" s="42">
        <v>2300</v>
      </c>
      <c r="B15" s="39"/>
      <c r="C15" s="39"/>
      <c r="D15" s="48">
        <v>2300</v>
      </c>
      <c r="E15" s="40"/>
    </row>
    <row r="16" spans="1:5" ht="24.95" customHeight="1" thickBot="1" x14ac:dyDescent="0.3">
      <c r="A16" s="42">
        <v>2315</v>
      </c>
      <c r="B16" s="39"/>
      <c r="C16" s="38"/>
      <c r="D16" s="48"/>
      <c r="E16" s="40"/>
    </row>
    <row r="17" spans="1:5" ht="24.95" customHeight="1" thickBot="1" x14ac:dyDescent="0.3">
      <c r="A17" s="42">
        <v>2330</v>
      </c>
      <c r="B17" s="39"/>
      <c r="C17" s="39"/>
      <c r="D17" s="48">
        <v>2330</v>
      </c>
      <c r="E17" s="40"/>
    </row>
    <row r="18" spans="1:5" ht="24.95" customHeight="1" thickBot="1" x14ac:dyDescent="0.3">
      <c r="A18" s="42">
        <v>2345</v>
      </c>
      <c r="B18" s="39"/>
      <c r="C18" s="38"/>
      <c r="D18" s="48"/>
      <c r="E18" s="40"/>
    </row>
    <row r="19" spans="1:5" ht="24.95" customHeight="1" thickBot="1" x14ac:dyDescent="0.3">
      <c r="A19" s="42" t="s">
        <v>115</v>
      </c>
      <c r="B19" s="39"/>
      <c r="C19" s="39"/>
      <c r="D19" s="48" t="s">
        <v>115</v>
      </c>
      <c r="E19" s="40"/>
    </row>
    <row r="20" spans="1:5" ht="24.95" customHeight="1" thickBot="1" x14ac:dyDescent="0.3">
      <c r="A20" s="42" t="s">
        <v>121</v>
      </c>
      <c r="B20" s="39"/>
      <c r="C20" s="39"/>
      <c r="D20" s="49"/>
      <c r="E20" s="38"/>
    </row>
    <row r="21" spans="1:5" ht="24.95" customHeight="1" thickBot="1" x14ac:dyDescent="0.3">
      <c r="A21" s="42" t="s">
        <v>116</v>
      </c>
      <c r="B21" s="39"/>
      <c r="C21" s="38"/>
      <c r="D21" s="48" t="s">
        <v>116</v>
      </c>
      <c r="E21" s="40"/>
    </row>
    <row r="22" spans="1:5" ht="24.95" customHeight="1" thickBot="1" x14ac:dyDescent="0.3">
      <c r="A22" s="42" t="s">
        <v>122</v>
      </c>
      <c r="B22" s="39"/>
      <c r="C22" s="40"/>
      <c r="D22" s="49"/>
      <c r="E22" s="39"/>
    </row>
    <row r="23" spans="1:5" ht="24.95" customHeight="1" thickBot="1" x14ac:dyDescent="0.3">
      <c r="A23" s="42" t="s">
        <v>117</v>
      </c>
      <c r="B23" s="39"/>
      <c r="C23" s="38"/>
      <c r="D23" s="48" t="s">
        <v>117</v>
      </c>
      <c r="E23" s="40"/>
    </row>
    <row r="24" spans="1:5" ht="24.95" customHeight="1" thickBot="1" x14ac:dyDescent="0.3">
      <c r="A24" s="42" t="s">
        <v>123</v>
      </c>
      <c r="B24" s="39"/>
      <c r="C24" s="40"/>
      <c r="D24" s="71"/>
      <c r="E24" s="70"/>
    </row>
    <row r="25" spans="1:5" ht="24.95" customHeight="1" thickBot="1" x14ac:dyDescent="0.3">
      <c r="A25" s="42" t="s">
        <v>118</v>
      </c>
      <c r="B25" s="39"/>
      <c r="C25" s="39"/>
      <c r="D25" s="48" t="s">
        <v>118</v>
      </c>
      <c r="E25" s="70"/>
    </row>
    <row r="26" spans="1:5" ht="24.95" customHeight="1" thickBot="1" x14ac:dyDescent="0.3">
      <c r="A26" s="42" t="s">
        <v>124</v>
      </c>
      <c r="B26" s="39"/>
      <c r="C26" s="40"/>
      <c r="D26" s="71"/>
      <c r="E26" s="70"/>
    </row>
    <row r="27" spans="1:5" ht="24.95" customHeight="1" thickBot="1" x14ac:dyDescent="0.3">
      <c r="A27" s="42" t="s">
        <v>119</v>
      </c>
      <c r="B27" s="39"/>
      <c r="C27" s="38"/>
      <c r="D27" s="48" t="s">
        <v>119</v>
      </c>
      <c r="E27" s="70"/>
    </row>
    <row r="28" spans="1:5" ht="24.95" customHeight="1" thickBot="1" x14ac:dyDescent="0.3">
      <c r="A28" s="42" t="s">
        <v>125</v>
      </c>
      <c r="B28" s="39"/>
      <c r="C28" s="39"/>
      <c r="D28" s="71"/>
      <c r="E28" s="70"/>
    </row>
    <row r="29" spans="1:5" ht="24.95" customHeight="1" thickBot="1" x14ac:dyDescent="0.3">
      <c r="A29" s="42" t="s">
        <v>120</v>
      </c>
      <c r="B29" s="39"/>
      <c r="C29" s="38"/>
      <c r="D29" s="48" t="s">
        <v>120</v>
      </c>
      <c r="E29" s="70"/>
    </row>
    <row r="30" spans="1:5" ht="24.95" customHeight="1" thickBot="1" x14ac:dyDescent="0.3">
      <c r="A30" s="42" t="s">
        <v>126</v>
      </c>
      <c r="B30" s="39"/>
      <c r="C30" s="70"/>
      <c r="D30" s="71"/>
      <c r="E30" s="70"/>
    </row>
    <row r="31" spans="1:5" x14ac:dyDescent="0.25">
      <c r="A31" s="99" t="s">
        <v>74</v>
      </c>
      <c r="B31" s="99"/>
      <c r="C31" s="99"/>
      <c r="D31" s="99"/>
      <c r="E31" s="99"/>
    </row>
    <row r="32" spans="1:5" x14ac:dyDescent="0.25">
      <c r="A32" s="98" t="s">
        <v>75</v>
      </c>
      <c r="B32" s="98"/>
      <c r="C32" s="98"/>
      <c r="D32" s="98"/>
      <c r="E32" s="98"/>
    </row>
    <row r="33" spans="1:5" x14ac:dyDescent="0.25">
      <c r="A33" s="98" t="s">
        <v>76</v>
      </c>
      <c r="B33" s="98"/>
      <c r="C33" s="98"/>
      <c r="D33" s="98"/>
      <c r="E33" s="98"/>
    </row>
    <row r="34" spans="1:5" ht="30" customHeight="1" x14ac:dyDescent="0.25">
      <c r="A34" s="97" t="s">
        <v>77</v>
      </c>
      <c r="B34" s="97"/>
      <c r="C34" s="97"/>
      <c r="D34" s="97"/>
      <c r="E34" s="97"/>
    </row>
    <row r="35" spans="1:5" x14ac:dyDescent="0.25">
      <c r="A35" s="98" t="s">
        <v>78</v>
      </c>
      <c r="B35" s="98"/>
      <c r="C35" s="98"/>
      <c r="D35" s="98"/>
      <c r="E35" s="98"/>
    </row>
    <row r="36" spans="1:5" x14ac:dyDescent="0.25">
      <c r="A36" s="98" t="s">
        <v>79</v>
      </c>
      <c r="B36" s="98"/>
      <c r="C36" s="98"/>
      <c r="D36" s="98"/>
      <c r="E36" s="98"/>
    </row>
  </sheetData>
  <mergeCells count="9">
    <mergeCell ref="A34:E34"/>
    <mergeCell ref="A35:E35"/>
    <mergeCell ref="A36:E36"/>
    <mergeCell ref="A1:E1"/>
    <mergeCell ref="A2:C2"/>
    <mergeCell ref="D2:E2"/>
    <mergeCell ref="A31:E31"/>
    <mergeCell ref="A32:E32"/>
    <mergeCell ref="A33:E33"/>
  </mergeCells>
  <pageMargins left="0.7" right="0.7" top="0.75" bottom="0.75" header="0.3" footer="0.3"/>
  <pageSetup scale="75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I999"/>
  <sheetViews>
    <sheetView view="pageLayout" zoomScaleNormal="100" workbookViewId="0"/>
  </sheetViews>
  <sheetFormatPr defaultColWidth="14.42578125" defaultRowHeight="15" customHeight="1" x14ac:dyDescent="0.2"/>
  <cols>
    <col min="1" max="8" width="12.85546875" style="57" customWidth="1"/>
    <col min="9" max="9" width="8.7109375" style="57" customWidth="1"/>
    <col min="10" max="16384" width="14.42578125" style="57"/>
  </cols>
  <sheetData>
    <row r="1" spans="1:9" x14ac:dyDescent="0.2">
      <c r="A1" s="1" t="s">
        <v>26</v>
      </c>
      <c r="B1" s="1" t="s">
        <v>63</v>
      </c>
      <c r="C1" s="1" t="s">
        <v>2</v>
      </c>
      <c r="D1" s="1" t="s">
        <v>3</v>
      </c>
      <c r="E1" s="1" t="s">
        <v>56</v>
      </c>
      <c r="F1" s="1" t="s">
        <v>4</v>
      </c>
      <c r="G1" s="11" t="s">
        <v>5</v>
      </c>
      <c r="H1" s="12" t="s">
        <v>6</v>
      </c>
    </row>
    <row r="2" spans="1:9" ht="14.25" x14ac:dyDescent="0.2">
      <c r="A2" s="10" t="s">
        <v>7</v>
      </c>
      <c r="B2" s="82" t="str">
        <f>IF('2026'!B34&lt;&gt;"", '2026'!B34, "")</f>
        <v/>
      </c>
      <c r="C2" s="82" t="str">
        <f>IF('2026'!C34&lt;&gt;"", '2026'!C34, "")</f>
        <v/>
      </c>
      <c r="D2" s="82" t="str">
        <f>IF('2026'!D34&lt;&gt;"", '2026'!D34, "")</f>
        <v/>
      </c>
      <c r="E2" s="82" t="str">
        <f>IF('2026'!E34&lt;&gt;"", '2026'!E34, "")</f>
        <v/>
      </c>
      <c r="F2" s="82" t="str">
        <f>IF('2026'!F34&lt;&gt;"", '2026'!F34, "")</f>
        <v/>
      </c>
      <c r="G2" s="83" t="str">
        <f>IF('2026'!G34&lt;&gt;"", '2026'!G34, "")</f>
        <v/>
      </c>
      <c r="H2" s="82" t="str">
        <f>IF('2026'!H34&lt;&gt;"", '2026'!H34, "")</f>
        <v>FLEN/NORI</v>
      </c>
    </row>
    <row r="3" spans="1:9" ht="14.25" x14ac:dyDescent="0.2">
      <c r="A3" s="10" t="s">
        <v>8</v>
      </c>
      <c r="B3" s="82" t="str">
        <f>IF('2026'!B35&lt;&gt;"", '2026'!B35, "")</f>
        <v/>
      </c>
      <c r="C3" s="82" t="str">
        <f>IF('2026'!C35&lt;&gt;"", '2026'!C35, "")</f>
        <v/>
      </c>
      <c r="D3" s="82" t="str">
        <f>IF('2026'!D35&lt;&gt;"", '2026'!D35, "")</f>
        <v/>
      </c>
      <c r="E3" s="82" t="str">
        <f>IF('2026'!E35&lt;&gt;"", '2026'!E35, "")</f>
        <v/>
      </c>
      <c r="F3" s="82" t="str">
        <f>IF('2026'!F35&lt;&gt;"", '2026'!F35, "")</f>
        <v/>
      </c>
      <c r="G3" s="83" t="str">
        <f>IF('2026'!G35&lt;&gt;"", '2026'!G35, "")</f>
        <v/>
      </c>
      <c r="H3" s="82" t="str">
        <f>IF('2026'!H35&lt;&gt;"", '2026'!H35, "")</f>
        <v>FLEN/NORI</v>
      </c>
    </row>
    <row r="4" spans="1:9" ht="14.25" x14ac:dyDescent="0.2">
      <c r="A4" s="10" t="s">
        <v>9</v>
      </c>
      <c r="B4" s="82" t="str">
        <f>IF('2026'!B36&lt;&gt;"", '2026'!B36, "")</f>
        <v>FLEN/NORI</v>
      </c>
      <c r="C4" s="82" t="str">
        <f>IF('2026'!C36&lt;&gt;"", '2026'!C36, "")</f>
        <v/>
      </c>
      <c r="D4" s="82" t="str">
        <f>IF('2026'!D36&lt;&gt;"", '2026'!D36, "")</f>
        <v/>
      </c>
      <c r="E4" s="82" t="str">
        <f>IF('2026'!E36&lt;&gt;"", '2026'!E36, "")</f>
        <v/>
      </c>
      <c r="F4" s="82" t="str">
        <f>IF('2026'!F36&lt;&gt;"", '2026'!F36, "")</f>
        <v/>
      </c>
      <c r="G4" s="82" t="str">
        <f>IF('2026'!G36&lt;&gt;"", '2026'!G36, "")</f>
        <v/>
      </c>
      <c r="H4" s="82" t="str">
        <f>IF('2026'!H36&lt;&gt;"", '2026'!H36, "")</f>
        <v/>
      </c>
    </row>
    <row r="5" spans="1:9" ht="14.25" x14ac:dyDescent="0.2">
      <c r="A5" s="10" t="s">
        <v>10</v>
      </c>
      <c r="B5" s="82" t="str">
        <f>IF('2026'!B37&lt;&gt;"", '2026'!B37, "")</f>
        <v/>
      </c>
      <c r="C5" s="82" t="str">
        <f>IF('2026'!C37&lt;&gt;"", '2026'!C37, "")</f>
        <v/>
      </c>
      <c r="D5" s="82" t="str">
        <f>IF('2026'!D37&lt;&gt;"", '2026'!D37, "")</f>
        <v/>
      </c>
      <c r="E5" s="82" t="str">
        <f>IF('2026'!E37&lt;&gt;"", '2026'!E37, "")</f>
        <v/>
      </c>
      <c r="F5" s="82" t="str">
        <f>IF('2026'!F37&lt;&gt;"", '2026'!F37, "")</f>
        <v/>
      </c>
      <c r="G5" s="82" t="str">
        <f>IF('2026'!G37&lt;&gt;"", '2026'!G37, "")</f>
        <v>BMOR</v>
      </c>
      <c r="H5" s="82" t="str">
        <f>IF('2026'!H37&lt;&gt;"", '2026'!H37, "")</f>
        <v>FLEN/NORI</v>
      </c>
    </row>
    <row r="6" spans="1:9" ht="14.25" x14ac:dyDescent="0.2">
      <c r="A6" s="10" t="s">
        <v>11</v>
      </c>
      <c r="B6" s="82" t="str">
        <f>IF('2026'!B38&lt;&gt;"", '2026'!B38, "")</f>
        <v/>
      </c>
      <c r="C6" s="82" t="str">
        <f>IF('2026'!C38&lt;&gt;"", '2026'!C38, "")</f>
        <v/>
      </c>
      <c r="D6" s="82" t="str">
        <f>IF('2026'!D38&lt;&gt;"", '2026'!D38, "")</f>
        <v>HROB</v>
      </c>
      <c r="E6" s="82" t="str">
        <f>IF('2026'!E38&lt;&gt;"", '2026'!E38, "")</f>
        <v/>
      </c>
      <c r="F6" s="82" t="str">
        <f>IF('2026'!F38&lt;&gt;"", '2026'!F38, "")</f>
        <v>HACK/RUEL</v>
      </c>
      <c r="G6" s="82" t="str">
        <f>IF('2026'!G38&lt;&gt;"", '2026'!G38, "")</f>
        <v/>
      </c>
      <c r="H6" s="82" t="str">
        <f>IF('2026'!H38&lt;&gt;"", '2026'!H38, "")</f>
        <v/>
      </c>
    </row>
    <row r="7" spans="1:9" ht="14.25" x14ac:dyDescent="0.2">
      <c r="A7" s="10" t="s">
        <v>12</v>
      </c>
      <c r="B7" s="82" t="str">
        <f>IF('2026'!B39&lt;&gt;"", '2026'!B39, "")</f>
        <v/>
      </c>
      <c r="C7" s="82" t="str">
        <f>IF('2026'!C39&lt;&gt;"", '2026'!C39, "")</f>
        <v/>
      </c>
      <c r="D7" s="82" t="str">
        <f>IF('2026'!D39&lt;&gt;"", '2026'!D39, "")</f>
        <v/>
      </c>
      <c r="E7" s="82" t="str">
        <f>IF('2026'!E39&lt;&gt;"", '2026'!E39, "")</f>
        <v/>
      </c>
      <c r="F7" s="82" t="str">
        <f>IF('2026'!F39&lt;&gt;"", '2026'!F39, "")</f>
        <v/>
      </c>
      <c r="G7" s="82" t="str">
        <f>IF('2026'!G39&lt;&gt;"", '2026'!G39, "")</f>
        <v/>
      </c>
      <c r="H7" s="82" t="str">
        <f>IF('2026'!H39&lt;&gt;"", '2026'!H39, "")</f>
        <v>RUEL</v>
      </c>
    </row>
    <row r="8" spans="1:9" ht="14.25" x14ac:dyDescent="0.2">
      <c r="A8" s="10" t="s">
        <v>13</v>
      </c>
      <c r="B8" s="82" t="str">
        <f>IF('2026'!B40&lt;&gt;"", '2026'!B40, "")</f>
        <v/>
      </c>
      <c r="C8" s="82" t="str">
        <f>IF('2026'!C40&lt;&gt;"", '2026'!C40, "")</f>
        <v>HACK/RUEL</v>
      </c>
      <c r="D8" s="82" t="str">
        <f>IF('2026'!D40&lt;&gt;"", '2026'!D40, "")</f>
        <v/>
      </c>
      <c r="E8" s="82" t="str">
        <f>IF('2026'!E40&lt;&gt;"", '2026'!E40, "")</f>
        <v/>
      </c>
      <c r="F8" s="82" t="str">
        <f>IF('2026'!F40&lt;&gt;"", '2026'!F40, "")</f>
        <v/>
      </c>
      <c r="G8" s="82" t="str">
        <f>IF('2026'!G40&lt;&gt;"", '2026'!G40, "")</f>
        <v/>
      </c>
      <c r="H8" s="82" t="str">
        <f>IF('2026'!H40&lt;&gt;"", '2026'!H40, "")</f>
        <v/>
      </c>
    </row>
    <row r="9" spans="1:9" ht="14.25" x14ac:dyDescent="0.2">
      <c r="A9" s="10" t="s">
        <v>14</v>
      </c>
      <c r="B9" s="82" t="str">
        <f>IF('2026'!B41&lt;&gt;"", '2026'!B41, "")</f>
        <v/>
      </c>
      <c r="C9" s="82" t="str">
        <f>IF('2026'!C41&lt;&gt;"", '2026'!C41, "")</f>
        <v/>
      </c>
      <c r="D9" s="82" t="str">
        <f>IF('2026'!D41&lt;&gt;"", '2026'!D41, "")</f>
        <v/>
      </c>
      <c r="E9" s="82" t="str">
        <f>IF('2026'!E41&lt;&gt;"", '2026'!E41, "")</f>
        <v>VASQ/MERC</v>
      </c>
      <c r="F9" s="82" t="str">
        <f>IF('2026'!F41&lt;&gt;"", '2026'!F41, "")</f>
        <v/>
      </c>
      <c r="G9" s="82" t="str">
        <f>IF('2026'!G41&lt;&gt;"", '2026'!G41, "")</f>
        <v/>
      </c>
      <c r="H9" s="82" t="str">
        <f>IF('2026'!H41&lt;&gt;"", '2026'!H41, "")</f>
        <v/>
      </c>
    </row>
    <row r="10" spans="1:9" ht="14.25" x14ac:dyDescent="0.2">
      <c r="A10" s="10" t="s">
        <v>15</v>
      </c>
      <c r="B10" s="82" t="str">
        <f>IF('2026'!B42&lt;&gt;"", '2026'!B42, "")</f>
        <v>VASQ/MERC</v>
      </c>
      <c r="C10" s="82" t="str">
        <f>IF('2026'!C42&lt;&gt;"", '2026'!C42, "")</f>
        <v/>
      </c>
      <c r="D10" s="82" t="str">
        <f>IF('2026'!D42&lt;&gt;"", '2026'!D42, "")</f>
        <v/>
      </c>
      <c r="E10" s="82" t="str">
        <f>IF('2026'!E42&lt;&gt;"", '2026'!E42, "")</f>
        <v/>
      </c>
      <c r="F10" s="82" t="str">
        <f>IF('2026'!F42&lt;&gt;"", '2026'!F42, "")</f>
        <v/>
      </c>
      <c r="G10" s="82" t="str">
        <f>IF('2026'!G42&lt;&gt;"", '2026'!G42, "")</f>
        <v/>
      </c>
      <c r="H10" s="82" t="str">
        <f>IF('2026'!H42&lt;&gt;"", '2026'!H42, "")</f>
        <v/>
      </c>
    </row>
    <row r="11" spans="1:9" ht="14.25" x14ac:dyDescent="0.2">
      <c r="A11" s="10" t="s">
        <v>16</v>
      </c>
      <c r="B11" s="82" t="str">
        <f>IF('2026'!B43&lt;&gt;"", '2026'!B43, "")</f>
        <v>LILL</v>
      </c>
      <c r="C11" s="82" t="str">
        <f>IF('2026'!C43&lt;&gt;"", '2026'!C43, "")</f>
        <v>SCOT/OCHO</v>
      </c>
      <c r="D11" s="82" t="str">
        <f>IF('2026'!D43&lt;&gt;"", '2026'!D43, "")</f>
        <v/>
      </c>
      <c r="E11" s="82" t="str">
        <f>IF('2026'!E43&lt;&gt;"", '2026'!E43, "")</f>
        <v/>
      </c>
      <c r="F11" s="82" t="str">
        <f>IF('2026'!F43&lt;&gt;"", '2026'!F43, "")</f>
        <v/>
      </c>
      <c r="G11" s="82" t="str">
        <f>IF('2026'!G43&lt;&gt;"", '2026'!G43, "")</f>
        <v/>
      </c>
      <c r="H11" s="82" t="str">
        <f>IF('2026'!H43&lt;&gt;"", '2026'!H43, "")</f>
        <v/>
      </c>
    </row>
    <row r="12" spans="1:9" ht="14.25" x14ac:dyDescent="0.2">
      <c r="A12" s="10" t="s">
        <v>17</v>
      </c>
      <c r="B12" s="82" t="str">
        <f>IF('2026'!B44&lt;&gt;"", '2026'!B44, "")</f>
        <v>SCOT/OCHO</v>
      </c>
      <c r="C12" s="82" t="str">
        <f>IF('2026'!C44&lt;&gt;"", '2026'!C44, "")</f>
        <v>LILL</v>
      </c>
      <c r="D12" s="82" t="str">
        <f>IF('2026'!D44&lt;&gt;"", '2026'!D44, "")</f>
        <v/>
      </c>
      <c r="E12" s="82" t="str">
        <f>IF('2026'!E44&lt;&gt;"", '2026'!E44, "")</f>
        <v/>
      </c>
      <c r="F12" s="82" t="str">
        <f>IF('2026'!F44&lt;&gt;"", '2026'!F44, "")</f>
        <v/>
      </c>
      <c r="G12" s="82" t="str">
        <f>IF('2026'!G44&lt;&gt;"", '2026'!G44, "")</f>
        <v>VASQ/MERC</v>
      </c>
      <c r="H12" s="82" t="str">
        <f>IF('2026'!H44&lt;&gt;"", '2026'!H44, "")</f>
        <v/>
      </c>
    </row>
    <row r="13" spans="1:9" ht="14.25" x14ac:dyDescent="0.2">
      <c r="A13" s="10" t="s">
        <v>18</v>
      </c>
      <c r="B13" s="82" t="str">
        <f>IF('2026'!B45&lt;&gt;"", '2026'!B45, "")</f>
        <v/>
      </c>
      <c r="C13" s="82" t="str">
        <f>IF('2026'!C45&lt;&gt;"", '2026'!C45, "")</f>
        <v/>
      </c>
      <c r="D13" s="82" t="str">
        <f>IF('2026'!D45&lt;&gt;"", '2026'!D45, "")</f>
        <v>SCOT/OCHO</v>
      </c>
      <c r="E13" s="82" t="str">
        <f>IF('2026'!E45&lt;&gt;"", '2026'!E45, "")</f>
        <v/>
      </c>
      <c r="F13" s="82" t="str">
        <f>IF('2026'!F45&lt;&gt;"", '2026'!F45, "")</f>
        <v/>
      </c>
      <c r="G13" s="82" t="str">
        <f>IF('2026'!G45&lt;&gt;"", '2026'!G45, "")</f>
        <v>VASQ/MERC</v>
      </c>
      <c r="H13" s="82" t="str">
        <f>IF('2026'!H45&lt;&gt;"", '2026'!H45, "")</f>
        <v/>
      </c>
    </row>
    <row r="14" spans="1:9" ht="13.5" customHeight="1" x14ac:dyDescent="0.2">
      <c r="A14" s="52" t="s">
        <v>20</v>
      </c>
      <c r="B14" s="52" t="s">
        <v>21</v>
      </c>
      <c r="C14" s="52" t="s">
        <v>22</v>
      </c>
      <c r="D14" s="53" t="s">
        <v>19</v>
      </c>
      <c r="E14" s="52" t="s">
        <v>24</v>
      </c>
      <c r="F14" s="61"/>
      <c r="G14" s="61"/>
      <c r="H14" s="61"/>
    </row>
    <row r="15" spans="1:9" ht="13.5" customHeight="1" x14ac:dyDescent="0.2">
      <c r="A15" s="55" t="str" cm="1">
        <f t="array" ref="A15">IFERROR(INDEX(A_SHIFT_ESDS,1),"")</f>
        <v>Lydia Valdez</v>
      </c>
      <c r="B15" s="54" t="str" cm="1">
        <f t="array" ref="B15">IFERROR(INDEX(B_SHIFT_ESDS,1),"")</f>
        <v>Tania Keller</v>
      </c>
      <c r="C15" s="54" t="str" cm="1">
        <f t="array" ref="C15">IFERROR(INDEX(C_SHIFT_ESDS,1),"")</f>
        <v>Allison Carter</v>
      </c>
      <c r="D15" s="54" t="str" cm="1">
        <f t="array" ref="D15">IFERROR(INDEX(E_SHIFT_ESDS,1),"")</f>
        <v>Jessica Leatherwood</v>
      </c>
      <c r="E15" s="54" t="str" cm="1">
        <f t="array" ref="E15">IFERROR(INDEX(F_SHIFT_ESDS,1),"")</f>
        <v>Susan Miller</v>
      </c>
      <c r="F15" s="61"/>
      <c r="G15" s="62"/>
      <c r="I15" s="63"/>
    </row>
    <row r="16" spans="1:9" ht="13.5" customHeight="1" x14ac:dyDescent="0.2">
      <c r="A16" s="55" t="str" cm="1">
        <f t="array" ref="A16">IFERROR(INDEX(A_SHIFT_ESDS,2),"")</f>
        <v>Cheri Smith</v>
      </c>
      <c r="B16" s="54" t="str" cm="1">
        <f t="array" ref="B16">IFERROR(INDEX(B_SHIFT_ESDS,2),"")</f>
        <v>Suzette Schlundt</v>
      </c>
      <c r="C16" s="54" t="str" cm="1">
        <f t="array" ref="C16">IFERROR(INDEX(C_SHIFT_ESDS,2),"")</f>
        <v>Ami Muro</v>
      </c>
      <c r="D16" s="54" t="str" cm="1">
        <f t="array" ref="D16">IFERROR(INDEX(E_SHIFT_ESDS,2),"")</f>
        <v>Sarah Ringer</v>
      </c>
      <c r="E16" s="54" t="str" cm="1">
        <f t="array" ref="E16">IFERROR(INDEX(F_SHIFT_ESDS,2),"")</f>
        <v xml:space="preserve">Tami Worden     </v>
      </c>
      <c r="G16" s="13"/>
    </row>
    <row r="17" spans="1:8" ht="13.5" customHeight="1" x14ac:dyDescent="0.2">
      <c r="A17" s="55" t="str" cm="1">
        <f t="array" ref="A17">IFERROR(INDEX(A_SHIFT_ESDS,3),"")</f>
        <v>Patty O’Grady</v>
      </c>
      <c r="B17" s="54" t="str" cm="1">
        <f t="array" ref="B17">IFERROR(INDEX(B_SHIFT_ESDS,3),"")</f>
        <v>Brenda Morgantini</v>
      </c>
      <c r="C17" s="54" t="str" cm="1">
        <f t="array" ref="C17">IFERROR(INDEX(C_SHIFT_ESDS,3),"")</f>
        <v>Mathew Hackney</v>
      </c>
      <c r="D17" s="54" t="str" cm="1">
        <f t="array" ref="D17">IFERROR(INDEX(E_SHIFT_ESDS,3),"")</f>
        <v>Nozomi Vasquez</v>
      </c>
      <c r="E17" s="54" t="str" cm="1">
        <f t="array" ref="E17">IFERROR(INDEX(F_SHIFT_ESDS,3),"")</f>
        <v>Nyia Vang</v>
      </c>
      <c r="G17" s="13"/>
    </row>
    <row r="18" spans="1:8" ht="13.5" customHeight="1" x14ac:dyDescent="0.2">
      <c r="A18" s="55" t="str" cm="1">
        <f t="array" ref="A18">IFERROR(INDEX(A_SHIFT_ESDS,4),"")</f>
        <v>Matt Sonderegger</v>
      </c>
      <c r="B18" s="54" t="str" cm="1">
        <f t="array" ref="B18">IFERROR(INDEX(B_SHIFT_ESDS,4),"")</f>
        <v>Zer Yang</v>
      </c>
      <c r="C18" s="54" t="str" cm="1">
        <f t="array" ref="C18">IFERROR(INDEX(C_SHIFT_ESDS,4),"")</f>
        <v>Sofia Ruelas</v>
      </c>
      <c r="D18" s="54" t="str" cm="1">
        <f t="array" ref="D18">IFERROR(INDEX(E_SHIFT_ESDS,4),"")</f>
        <v>Kelly Wiens</v>
      </c>
      <c r="E18" s="54" t="str" cm="1">
        <f t="array" ref="E18">IFERROR(INDEX(F_SHIFT_ESDS,4),"")</f>
        <v>Elexis Scott</v>
      </c>
      <c r="G18" s="86" t="s">
        <v>151</v>
      </c>
      <c r="H18" s="86"/>
    </row>
    <row r="19" spans="1:8" ht="13.5" customHeight="1" x14ac:dyDescent="0.2">
      <c r="A19" s="55" t="str" cm="1">
        <f t="array" ref="A19">IFERROR(INDEX(A_SHIFT_ESDS,5),"")</f>
        <v>Lorraine Flenory</v>
      </c>
      <c r="B19" s="54" t="str" cm="1">
        <f t="array" ref="B19">IFERROR(INDEX(B_SHIFT_ESDS,5),"")</f>
        <v>Rina Rosales</v>
      </c>
      <c r="C19" s="54" cm="1">
        <f t="array" ref="C19">IFERROR(INDEX(C_SHIFT_ESDS,5),"")</f>
        <v>0</v>
      </c>
      <c r="D19" s="54" t="str" cm="1">
        <f t="array" ref="D19">IFERROR(INDEX(E_SHIFT_ESDS,5),"")</f>
        <v>Melissa Joint</v>
      </c>
      <c r="E19" s="54" t="str" cm="1">
        <f t="array" ref="E19">IFERROR(INDEX(F_SHIFT_ESDS,5),"")</f>
        <v>Lauren Lilly</v>
      </c>
      <c r="F19" s="74">
        <v>730</v>
      </c>
      <c r="G19" s="56"/>
      <c r="H19" s="23"/>
    </row>
    <row r="20" spans="1:8" ht="13.5" customHeight="1" x14ac:dyDescent="0.2">
      <c r="A20" s="55" t="str" cm="1">
        <f t="array" ref="A20">IFERROR(INDEX(A_SHIFT_ESDS,6),"")</f>
        <v>Jodi Garland</v>
      </c>
      <c r="B20" s="54" t="str" cm="1">
        <f t="array" ref="B20">IFERROR(INDEX(B_SHIFT_ESDS,6),"")</f>
        <v>Norma Garvey</v>
      </c>
      <c r="C20" s="54" cm="1">
        <f t="array" ref="C20">IFERROR(INDEX(C_SHIFT_ESDS,6),"")</f>
        <v>0</v>
      </c>
      <c r="D20" s="54" t="str" cm="1">
        <f t="array" ref="D20">IFERROR(INDEX(E_SHIFT_ESDS,6),"")</f>
        <v>Bianca Hernandez</v>
      </c>
      <c r="E20" s="54" t="str" cm="1">
        <f t="array" ref="E20">IFERROR(INDEX(F_SHIFT_ESDS,6),"")</f>
        <v>Kimberly Lott</v>
      </c>
      <c r="F20" s="74">
        <v>930</v>
      </c>
      <c r="G20" s="56"/>
      <c r="H20" s="23"/>
    </row>
    <row r="21" spans="1:8" ht="13.5" customHeight="1" x14ac:dyDescent="0.2">
      <c r="A21" s="55" t="str" cm="1">
        <f t="array" ref="A21">IFERROR(INDEX(A_SHIFT_ESDS,7),"")</f>
        <v>Monica Ramirez</v>
      </c>
      <c r="B21" s="54" t="str" cm="1">
        <f t="array" ref="B21">IFERROR(INDEX(B_SHIFT_ESDS,7),"")</f>
        <v>Lori Brown</v>
      </c>
      <c r="C21" s="54" cm="1">
        <f t="array" ref="C21">IFERROR(INDEX(C_SHIFT_ESDS,7),"")</f>
        <v>0</v>
      </c>
      <c r="D21" s="54" t="str" cm="1">
        <f t="array" ref="D21">IFERROR(INDEX(E_SHIFT_ESDS,7),"")</f>
        <v>Paola Barrientos</v>
      </c>
      <c r="E21" s="54" t="str" cm="1">
        <f t="array" ref="E21">IFERROR(INDEX(F_SHIFT_ESDS,7),"")</f>
        <v>Mariah Rosales</v>
      </c>
      <c r="F21" s="56">
        <v>1130</v>
      </c>
      <c r="G21" s="56"/>
      <c r="H21" s="23"/>
    </row>
    <row r="22" spans="1:8" ht="13.5" customHeight="1" x14ac:dyDescent="0.2">
      <c r="A22" s="55" t="str" cm="1">
        <f t="array" ref="A22">IFERROR(INDEX(A_SHIFT_ESDS,8),"")</f>
        <v>Jamielyn Shwetzer</v>
      </c>
      <c r="B22" s="54" t="str" cm="1">
        <f t="array" ref="B22">IFERROR(INDEX(B_SHIFT_ESDS,8),"")</f>
        <v xml:space="preserve">Heidi Roberts </v>
      </c>
      <c r="C22" s="54" cm="1">
        <f t="array" ref="C22">IFERROR(INDEX(C_SHIFT_ESDS,8),"")</f>
        <v>0</v>
      </c>
      <c r="D22" s="54" t="str" cm="1">
        <f t="array" ref="D22">IFERROR(INDEX(E_SHIFT_ESDS,8),"")</f>
        <v>Jason Yang</v>
      </c>
      <c r="E22" s="54" t="str" cm="1">
        <f t="array" ref="E22">IFERROR(INDEX(F_SHIFT_ESDS,8),"")</f>
        <v>Raquel Salazar</v>
      </c>
      <c r="F22" s="56">
        <v>1330</v>
      </c>
      <c r="G22" s="56"/>
      <c r="H22" s="23"/>
    </row>
    <row r="23" spans="1:8" ht="13.5" customHeight="1" x14ac:dyDescent="0.2">
      <c r="A23" s="55" t="str" cm="1">
        <f t="array" ref="A23">IFERROR(INDEX(A_SHIFT_ESDS,9),"")</f>
        <v>Valeria Guzman</v>
      </c>
      <c r="B23" s="54" t="str" cm="1">
        <f t="array" ref="B23">IFERROR(INDEX(B_SHIFT_ESDS,9),"")</f>
        <v>Rebekah Isquierdo</v>
      </c>
      <c r="C23" s="54" cm="1">
        <f t="array" ref="C23">IFERROR(INDEX(C_SHIFT_ESDS,9),"")</f>
        <v>0</v>
      </c>
      <c r="D23" s="54" t="str" cm="1">
        <f t="array" ref="D23">IFERROR(INDEX(E_SHIFT_ESDS,9),"")</f>
        <v>Adrienne Rodriguez</v>
      </c>
      <c r="E23" s="54" t="str" cm="1">
        <f t="array" ref="E23">IFERROR(INDEX(F_SHIFT_ESDS,9),"")</f>
        <v>Jorge Alcorn</v>
      </c>
      <c r="F23" s="56">
        <v>1530</v>
      </c>
      <c r="G23" s="56"/>
      <c r="H23" s="23"/>
    </row>
    <row r="24" spans="1:8" ht="13.5" customHeight="1" x14ac:dyDescent="0.2">
      <c r="A24" s="55" t="str" cm="1">
        <f t="array" ref="A24">IFERROR(INDEX(A_SHIFT_ESDS,10),"")</f>
        <v>Mindy Mcclung</v>
      </c>
      <c r="B24" s="54" t="str" cm="1">
        <f t="array" ref="B24">IFERROR(INDEX(B_SHIFT_ESDS,10),"")</f>
        <v>Darlene Foell</v>
      </c>
      <c r="C24" s="54" cm="1">
        <f t="array" ref="C24">IFERROR(INDEX(C_SHIFT_ESDS,10),"")</f>
        <v>0</v>
      </c>
      <c r="D24" s="54" t="str" cm="1">
        <f t="array" ref="D24">IFERROR(INDEX(E_SHIFT_ESDS,10),"")</f>
        <v>Adriana Dedios</v>
      </c>
      <c r="E24" s="54" t="str" cm="1">
        <f t="array" ref="E24">IFERROR(INDEX(F_SHIFT_ESDS,10),"")</f>
        <v>Jasmine Gomez</v>
      </c>
      <c r="F24" s="56">
        <v>1730</v>
      </c>
      <c r="G24" s="56"/>
      <c r="H24" s="23"/>
    </row>
    <row r="25" spans="1:8" ht="13.5" customHeight="1" x14ac:dyDescent="0.2">
      <c r="A25" s="55" t="str" cm="1">
        <f t="array" ref="A25">IFERROR(INDEX(A_SHIFT_ESDS,11),"")</f>
        <v>Alexis Yandell</v>
      </c>
      <c r="B25" s="54" t="str" cm="1">
        <f t="array" ref="B25">IFERROR(INDEX(B_SHIFT_ESDS,11),"")</f>
        <v>Markey Blankenship</v>
      </c>
      <c r="C25" s="54" cm="1">
        <f t="array" ref="C25">IFERROR(INDEX(C_SHIFT_ESDS,11),"")</f>
        <v>0</v>
      </c>
      <c r="D25" s="54" t="str" cm="1">
        <f t="array" ref="D25">IFERROR(INDEX(E_SHIFT_ESDS,11),"")</f>
        <v>Dulcivet Garcia</v>
      </c>
      <c r="E25" s="54" t="str" cm="1">
        <f t="array" ref="E25">IFERROR(INDEX(F_SHIFT_ESDS,11),"")</f>
        <v>April Ponce</v>
      </c>
      <c r="F25" s="74">
        <v>1930</v>
      </c>
      <c r="G25" s="56"/>
      <c r="H25" s="23"/>
    </row>
    <row r="26" spans="1:8" ht="13.5" customHeight="1" x14ac:dyDescent="0.2">
      <c r="A26" s="55" t="str" cm="1">
        <f t="array" ref="A26">IFERROR(INDEX(A_SHIFT_ESDS,12),"")</f>
        <v>Marrie Sip</v>
      </c>
      <c r="B26" s="54" t="str" cm="1">
        <f t="array" ref="B26">IFERROR(INDEX(B_SHIFT_ESDS,12),"")</f>
        <v>Sonam Carter</v>
      </c>
      <c r="C26" s="54" cm="1">
        <f t="array" ref="C26">IFERROR(INDEX(C_SHIFT_ESDS,12),"")</f>
        <v>0</v>
      </c>
      <c r="D26" s="54" t="str" cm="1">
        <f t="array" ref="D26">IFERROR(INDEX(E_SHIFT_ESDS,12),"")</f>
        <v>Susie Amezcua</v>
      </c>
      <c r="E26" s="54" t="str" cm="1">
        <f t="array" ref="E26">IFERROR(INDEX(F_SHIFT_ESDS,12),"")</f>
        <v>Curt Barrow</v>
      </c>
      <c r="F26" s="74">
        <v>2130</v>
      </c>
      <c r="G26" s="56"/>
      <c r="H26" s="23"/>
    </row>
    <row r="27" spans="1:8" ht="13.5" customHeight="1" x14ac:dyDescent="0.2">
      <c r="A27" s="55" t="str" cm="1">
        <f t="array" ref="A27">IFERROR(INDEX(A_SHIFT_ESDS,13),"")</f>
        <v>Chelsea Meave</v>
      </c>
      <c r="B27" s="54" t="str" cm="1">
        <f t="array" ref="B27">IFERROR(INDEX(B_SHIFT_ESDS,13),"")</f>
        <v xml:space="preserve">Jessica Dukes </v>
      </c>
      <c r="C27" s="54" cm="1">
        <f t="array" ref="C27">IFERROR(INDEX(C_SHIFT_ESDS,13),"")</f>
        <v>0</v>
      </c>
      <c r="D27" s="54" t="str" cm="1">
        <f t="array" ref="D27">IFERROR(INDEX(E_SHIFT_ESDS,13),"")</f>
        <v>Nathanly Rodriguez</v>
      </c>
      <c r="E27" s="54" t="str" cm="1">
        <f t="array" ref="E27">IFERROR(INDEX(F_SHIFT_ESDS,13),"")</f>
        <v>Stephanie Rojas</v>
      </c>
      <c r="F27" s="74">
        <v>2330</v>
      </c>
      <c r="G27" s="56"/>
      <c r="H27" s="23"/>
    </row>
    <row r="28" spans="1:8" ht="13.5" customHeight="1" x14ac:dyDescent="0.2">
      <c r="A28" s="55" t="str" cm="1">
        <f t="array" ref="A28">IFERROR(INDEX(A_SHIFT_ESDS,14),"")</f>
        <v>Gwen Anzaldo</v>
      </c>
      <c r="B28" s="54" t="str" cm="1">
        <f t="array" ref="B28">IFERROR(INDEX(B_SHIFT_ESDS,14),"")</f>
        <v xml:space="preserve">Sarah Fraley </v>
      </c>
      <c r="C28" s="54" cm="1">
        <f t="array" ref="C28">IFERROR(INDEX(C_SHIFT_ESDS,14),"")</f>
        <v>0</v>
      </c>
      <c r="D28" s="54" t="str" cm="1">
        <f t="array" ref="D28">IFERROR(INDEX(E_SHIFT_ESDS,14),"")</f>
        <v>Akilah Mccullough</v>
      </c>
      <c r="E28" s="54" t="str" cm="1">
        <f t="array" ref="E28">IFERROR(INDEX(F_SHIFT_ESDS,14),"")</f>
        <v>Mark Teixeira</v>
      </c>
      <c r="F28" s="56">
        <v>130</v>
      </c>
      <c r="G28" s="56"/>
      <c r="H28" s="23"/>
    </row>
    <row r="29" spans="1:8" ht="13.5" customHeight="1" x14ac:dyDescent="0.2">
      <c r="A29" s="55" t="str" cm="1">
        <f t="array" ref="A29">IFERROR(INDEX(A_SHIFT_ESDS,15),"")</f>
        <v>Robert Noriega</v>
      </c>
      <c r="B29" s="54" t="str" cm="1">
        <f t="array" ref="B29">IFERROR(INDEX(B_SHIFT_ESDS,15),"")</f>
        <v>Josephine Botello</v>
      </c>
      <c r="C29" s="54" cm="1">
        <f t="array" ref="C29">IFERROR(INDEX(C_SHIFT_ESDS,15),"")</f>
        <v>0</v>
      </c>
      <c r="D29" s="54" t="str" cm="1">
        <f t="array" ref="D29">IFERROR(INDEX(E_SHIFT_ESDS,15),"")</f>
        <v>Allyson Trevino</v>
      </c>
      <c r="E29" s="54" t="str" cm="1">
        <f t="array" ref="E29">IFERROR(INDEX(F_SHIFT_ESDS,15),"")</f>
        <v>Edie Ochoa</v>
      </c>
      <c r="G29" s="100" t="s">
        <v>166</v>
      </c>
      <c r="H29" s="100"/>
    </row>
    <row r="30" spans="1:8" ht="13.5" customHeight="1" x14ac:dyDescent="0.2">
      <c r="A30" s="55" cm="1">
        <f t="array" ref="A30">IFERROR(INDEX(A_SHIFT_ESDS,16),"")</f>
        <v>0</v>
      </c>
      <c r="B30" s="54" t="str" cm="1">
        <f t="array" ref="B30">IFERROR(INDEX(B_SHIFT_ESDS,16),"")</f>
        <v>Maribel Escareno</v>
      </c>
      <c r="C30" s="54"/>
      <c r="D30" s="54" t="str" cm="1">
        <f t="array" ref="D30">IFERROR(INDEX(E_SHIFT_ESDS,16),"")</f>
        <v>Jessica Cardoza</v>
      </c>
      <c r="E30" s="54" cm="1">
        <f t="array" ref="E30">IFERROR(INDEX(F_SHIFT_ESDS,16),"")</f>
        <v>0</v>
      </c>
      <c r="G30" s="74">
        <v>1530</v>
      </c>
      <c r="H30" s="75" t="str">
        <f>IF('2026'!I40&lt;&gt;"", '2026'!I40, "")</f>
        <v/>
      </c>
    </row>
    <row r="31" spans="1:8" ht="13.5" customHeight="1" x14ac:dyDescent="0.2">
      <c r="A31" s="55" cm="1">
        <f t="array" ref="A31">IFERROR(INDEX(A_SHIFT_ESDS,17),"")</f>
        <v>0</v>
      </c>
      <c r="B31" s="54" t="str" cm="1">
        <f t="array" ref="B31">IFERROR(INDEX(B_SHIFT_ESDS,17),"")</f>
        <v>Kyler Lorin</v>
      </c>
      <c r="C31" s="54"/>
      <c r="D31" s="54" t="str" cm="1">
        <f t="array" ref="D31">IFERROR(INDEX(E_SHIFT_ESDS,17),"")</f>
        <v>Jesse Jimenez</v>
      </c>
      <c r="E31" s="54" cm="1">
        <f t="array" ref="E31">IFERROR(INDEX(F_SHIFT_ESDS,17),"")</f>
        <v>0</v>
      </c>
      <c r="F31" s="58"/>
      <c r="G31" s="74">
        <v>1730</v>
      </c>
      <c r="H31" s="75" t="str">
        <f>IF('2026'!I41&lt;&gt;"", '2026'!I41, "")</f>
        <v/>
      </c>
    </row>
    <row r="32" spans="1:8" ht="13.5" customHeight="1" x14ac:dyDescent="0.2">
      <c r="A32" s="55" cm="1">
        <f t="array" ref="A32">IFERROR(INDEX(A_SHIFT_ESDS,18),"")</f>
        <v>0</v>
      </c>
      <c r="B32" s="54" t="str" cm="1">
        <f t="array" ref="B32">IFERROR(INDEX(B_SHIFT_ESDS,18),"")</f>
        <v>Eric Uribe</v>
      </c>
      <c r="C32" s="54"/>
      <c r="D32" s="54" t="str" cm="1">
        <f t="array" ref="D32">IFERROR(INDEX(E_SHIFT_ESDS,18),"")</f>
        <v>Cicaly Cruz</v>
      </c>
      <c r="E32" s="54" cm="1">
        <f t="array" ref="E32">IFERROR(INDEX(F_SHIFT_ESDS,18),"")</f>
        <v>0</v>
      </c>
      <c r="G32" s="74">
        <v>1930</v>
      </c>
      <c r="H32" s="75" t="str">
        <f>IF('2026'!I42&lt;&gt;"", '2026'!I42, "")</f>
        <v/>
      </c>
    </row>
    <row r="33" spans="1:8" ht="13.5" customHeight="1" x14ac:dyDescent="0.2">
      <c r="A33" s="55" cm="1">
        <f t="array" ref="A33">IFERROR(INDEX(A_SHIFT_ESDS,19),"")</f>
        <v>0</v>
      </c>
      <c r="B33" s="54" t="str" cm="1">
        <f t="array" ref="B33">IFERROR(INDEX(B_SHIFT_ESDS,19),"")</f>
        <v>Melina Davila</v>
      </c>
      <c r="C33" s="54"/>
      <c r="D33" s="54" t="str" cm="1">
        <f t="array" ref="D33">IFERROR(INDEX(E_SHIFT_ESDS,19),"")</f>
        <v>Cassidy Voudry</v>
      </c>
      <c r="E33" s="54" cm="1">
        <f t="array" ref="E33">IFERROR(INDEX(F_SHIFT_ESDS,19),"")</f>
        <v>0</v>
      </c>
      <c r="G33" s="74">
        <v>2130</v>
      </c>
      <c r="H33" s="75" t="str">
        <f>IF('2026'!I43&lt;&gt;"", '2026'!I43, "")</f>
        <v/>
      </c>
    </row>
    <row r="34" spans="1:8" ht="13.5" customHeight="1" x14ac:dyDescent="0.2">
      <c r="A34" s="55" cm="1">
        <f t="array" ref="A34">IFERROR(INDEX(A_SHIFT_ESDS,20),"")</f>
        <v>0</v>
      </c>
      <c r="B34" s="54" t="str" cm="1">
        <f t="array" ref="B34">IFERROR(INDEX(B_SHIFT_ESDS,20),"")</f>
        <v>Jose Lopez</v>
      </c>
      <c r="C34" s="54"/>
      <c r="D34" s="54" t="str" cm="1">
        <f t="array" ref="D34">IFERROR(INDEX(E_SHIFT_ESDS,20),"")</f>
        <v>Kanong Lee</v>
      </c>
      <c r="E34" s="54" cm="1">
        <f t="array" ref="E34">IFERROR(INDEX(F_SHIFT_ESDS,20),"")</f>
        <v>0</v>
      </c>
      <c r="G34" s="74">
        <v>2330</v>
      </c>
      <c r="H34" s="75" t="str">
        <f>IF('2026'!I44&lt;&gt;"", '2026'!I44, "")</f>
        <v/>
      </c>
    </row>
    <row r="35" spans="1:8" ht="13.5" customHeight="1" x14ac:dyDescent="0.2">
      <c r="A35" s="55" cm="1">
        <f t="array" ref="A35">IFERROR(INDEX(A_SHIFT_ESDS,21),"")</f>
        <v>0</v>
      </c>
      <c r="B35" s="54" t="str" cm="1">
        <f t="array" ref="B35">IFERROR(INDEX(B_SHIFT_ESDS,21),"")</f>
        <v>Brenda Basulto</v>
      </c>
      <c r="C35" s="54"/>
      <c r="D35" s="54" t="str" cm="1">
        <f t="array" ref="D35">IFERROR(INDEX(E_SHIFT_ESDS,21),"")</f>
        <v>Delaney Boyd-Escobedo</v>
      </c>
      <c r="E35" s="54" cm="1">
        <f t="array" ref="E35">IFERROR(INDEX(F_SHIFT_ESDS,21),"")</f>
        <v>0</v>
      </c>
      <c r="G35" s="74">
        <v>130</v>
      </c>
      <c r="H35" s="75" t="str">
        <f>IF('2026'!I45&lt;&gt;"", '2026'!I45, "")</f>
        <v/>
      </c>
    </row>
    <row r="36" spans="1:8" ht="12.2" customHeight="1" x14ac:dyDescent="0.25">
      <c r="A36" s="54"/>
      <c r="B36" s="54" t="str" cm="1">
        <f t="array" ref="B36">IFERROR(INDEX(B_SHIFT_ESDS,22),"")</f>
        <v>Vanessa Mercado</v>
      </c>
      <c r="C36" s="52" t="s">
        <v>37</v>
      </c>
      <c r="D36" s="54" t="str" cm="1">
        <f t="array" ref="D36">IFERROR(INDEX(E_SHIFT_ESDS,22),"")</f>
        <v>Jackeline Carreon</v>
      </c>
      <c r="E36" s="54" cm="1">
        <f t="array" ref="E36">IFERROR(INDEX(F_SHIFT_ESDS,22),"")</f>
        <v>0</v>
      </c>
      <c r="G36" s="84"/>
      <c r="H36" s="85"/>
    </row>
    <row r="37" spans="1:8" ht="12.2" customHeight="1" x14ac:dyDescent="0.25">
      <c r="A37" s="54"/>
      <c r="B37" s="54" cm="1">
        <f t="array" ref="B37">IFERROR(INDEX(B_SHIFT_ESDS,23),"")</f>
        <v>0</v>
      </c>
      <c r="C37" s="54" t="str" cm="1">
        <f t="array" ref="C37">IFERROR(INDEX(D_SHIFT_ESDS,1),"")</f>
        <v>May Yen Yang</v>
      </c>
      <c r="D37" s="54" t="str" cm="1">
        <f t="array" ref="D37">IFERROR(INDEX(E_SHIFT_ESDS,23),"")</f>
        <v>Leanne Heslep</v>
      </c>
      <c r="E37" s="54" cm="1">
        <f t="array" ref="E37">IFERROR(INDEX(F_SHIFT_ESDS,23),"")</f>
        <v>0</v>
      </c>
      <c r="F37" s="65"/>
      <c r="G37" s="59" t="s">
        <v>114</v>
      </c>
      <c r="H37" s="60"/>
    </row>
    <row r="38" spans="1:8" ht="12.2" customHeight="1" x14ac:dyDescent="0.2">
      <c r="A38" s="54"/>
      <c r="B38" s="54" cm="1">
        <f t="array" ref="B38">IFERROR(INDEX(B_SHIFT_ESDS,24),"")</f>
        <v>0</v>
      </c>
      <c r="C38" s="54" t="str" cm="1">
        <f t="array" ref="C38">IFERROR(INDEX(D_SHIFT_ESDS,2),"")</f>
        <v>Lydia Martinez</v>
      </c>
      <c r="D38" s="54" t="str" cm="1">
        <f t="array" ref="D38">IFERROR(INDEX(E_SHIFT_ESDS,24),"")</f>
        <v xml:space="preserve">Brittany Watson </v>
      </c>
      <c r="E38" s="54" cm="1">
        <f t="array" ref="E38">IFERROR(INDEX(F_SHIFT_ESDS,24),"")</f>
        <v>0</v>
      </c>
      <c r="G38" s="59" t="s">
        <v>18</v>
      </c>
      <c r="H38" s="60"/>
    </row>
    <row r="39" spans="1:8" ht="12.2" customHeight="1" x14ac:dyDescent="0.25">
      <c r="A39" s="54"/>
      <c r="B39" s="54" cm="1">
        <f t="array" ref="B39">IFERROR(INDEX(B_SHIFT_ESDS,25),"")</f>
        <v>0</v>
      </c>
      <c r="C39" s="54" t="str" cm="1">
        <f t="array" ref="C39">IFERROR(INDEX(D_SHIFT_ESDS,3),"")</f>
        <v>Amanda Willis</v>
      </c>
      <c r="D39" s="54" cm="1">
        <f t="array" ref="D39">IFERROR(INDEX(E_SHIFT_ESDS,25),"")</f>
        <v>0</v>
      </c>
      <c r="E39" s="54"/>
      <c r="F39" s="65"/>
      <c r="G39" s="59" t="s">
        <v>7</v>
      </c>
      <c r="H39" s="60"/>
    </row>
    <row r="40" spans="1:8" ht="12.2" customHeight="1" x14ac:dyDescent="0.2">
      <c r="A40" s="54"/>
      <c r="B40" s="54" cm="1">
        <f t="array" ref="B40">IFERROR(INDEX(B_SHIFT_ESDS,26),"")</f>
        <v>0</v>
      </c>
      <c r="C40" s="54" t="str" cm="1">
        <f t="array" ref="C40">IFERROR(INDEX(D_SHIFT_ESDS,4),"")</f>
        <v>Maria Jones</v>
      </c>
      <c r="D40" s="54" cm="1">
        <f t="array" ref="D40">IFERROR(INDEX(E_SHIFT_ESDS,26),"")</f>
        <v>0</v>
      </c>
      <c r="E40" s="54"/>
      <c r="F40" s="61"/>
      <c r="G40" s="59" t="s">
        <v>8</v>
      </c>
      <c r="H40" s="60"/>
    </row>
    <row r="41" spans="1:8" ht="12.2" customHeight="1" x14ac:dyDescent="0.2">
      <c r="A41" s="54"/>
      <c r="B41" s="54" cm="1">
        <f t="array" ref="B41">IFERROR(INDEX(B_SHIFT_ESDS,27),"")</f>
        <v>0</v>
      </c>
      <c r="C41" s="54" t="str" cm="1">
        <f t="array" ref="C41">IFERROR(INDEX(D_SHIFT_ESDS,5),"")</f>
        <v>Shadon Riahizadeh</v>
      </c>
      <c r="D41" s="54" cm="1">
        <f t="array" ref="D41">IFERROR(INDEX(E_SHIFT_ESDS,27),"")</f>
        <v>0</v>
      </c>
      <c r="E41" s="54"/>
      <c r="F41" s="61"/>
      <c r="G41" s="61"/>
      <c r="H41" s="61"/>
    </row>
    <row r="42" spans="1:8" ht="12.2" customHeight="1" x14ac:dyDescent="0.2">
      <c r="A42" s="54"/>
      <c r="B42" s="54" cm="1">
        <f t="array" ref="B42">IFERROR(INDEX(B_SHIFT_ESDS,28),"")</f>
        <v>0</v>
      </c>
      <c r="C42" s="54" t="str" cm="1">
        <f t="array" ref="C42">IFERROR(INDEX(D_SHIFT_ESDS,6),"")</f>
        <v>Danielle Parre</v>
      </c>
      <c r="D42" s="54" cm="1">
        <f t="array" ref="D42">IFERROR(INDEX(E_SHIFT_ESDS,28),"")</f>
        <v>0</v>
      </c>
      <c r="E42" s="54"/>
      <c r="F42" s="61"/>
      <c r="G42" s="61"/>
      <c r="H42" s="61"/>
    </row>
    <row r="43" spans="1:8" ht="15.75" customHeight="1" x14ac:dyDescent="0.2">
      <c r="A43" s="54"/>
      <c r="B43" s="54" cm="1">
        <f t="array" ref="B43">IFERROR(INDEX(B_SHIFT_ESDS,29),"")</f>
        <v>0</v>
      </c>
      <c r="C43" s="54" t="str" cm="1">
        <f t="array" ref="C43">IFERROR(INDEX(D_SHIFT_ESDS,7),"")</f>
        <v>Brenda Basulto</v>
      </c>
      <c r="D43" s="54" cm="1">
        <f t="array" ref="D43">IFERROR(INDEX(E_SHIFT_ESDS,29),"")</f>
        <v>0</v>
      </c>
      <c r="E43" s="54"/>
      <c r="F43" s="64"/>
      <c r="G43" s="61"/>
      <c r="H43" s="61"/>
    </row>
    <row r="44" spans="1:8" ht="15.75" customHeight="1" x14ac:dyDescent="0.2">
      <c r="A44" s="54"/>
      <c r="B44" s="54" cm="1">
        <f t="array" ref="B44">IFERROR(INDEX(B_SHIFT_ESDS,30),"")</f>
        <v>0</v>
      </c>
      <c r="C44" s="54" t="str" cm="1">
        <f t="array" ref="C44">IFERROR(INDEX(D_SHIFT_ESDS,8),"")</f>
        <v>Emily Franco</v>
      </c>
      <c r="D44" s="54" cm="1">
        <f t="array" ref="D44">IFERROR(INDEX(E_SHIFT_ESDS,30),"")</f>
        <v>0</v>
      </c>
      <c r="E44" s="54"/>
      <c r="F44" s="64"/>
      <c r="G44" s="61"/>
      <c r="H44" s="61"/>
    </row>
    <row r="45" spans="1:8" ht="15.75" customHeight="1" x14ac:dyDescent="0.2">
      <c r="A45" s="54"/>
      <c r="B45" s="54" cm="1">
        <f t="array" ref="B45">IFERROR(INDEX(B_SHIFT_ESDS,31),"")</f>
        <v>0</v>
      </c>
      <c r="C45" s="54" t="str" cm="1">
        <f t="array" ref="C45">IFERROR(INDEX(D_SHIFT_ESDS,9),"")</f>
        <v>Ricka  Majors</v>
      </c>
      <c r="D45" s="54" cm="1">
        <f t="array" ref="D45">IFERROR(INDEX(E_SHIFT_ESDS,31),"")</f>
        <v>0</v>
      </c>
      <c r="E45" s="55"/>
    </row>
    <row r="46" spans="1:8" ht="15.75" customHeight="1" x14ac:dyDescent="0.2">
      <c r="A46" s="54" cm="1">
        <f t="array" ref="A46">IFERROR(INDEX(TRAINEES_ESDS,16),"")</f>
        <v>0</v>
      </c>
      <c r="B46" s="54" cm="1">
        <f t="array" ref="B46">IFERROR(INDEX(B_SHIFT_ESDS,32),"")</f>
        <v>0</v>
      </c>
      <c r="C46" s="54" t="str" cm="1">
        <f t="array" ref="C46">IFERROR(INDEX(D_SHIFT_ESDS,10),"")</f>
        <v>Asuzena Aquino</v>
      </c>
      <c r="D46" s="54" cm="1">
        <f t="array" ref="D46">IFERROR(INDEX(E_SHIFT_ESDS,32),"")</f>
        <v>0</v>
      </c>
      <c r="E46" s="55"/>
    </row>
    <row r="47" spans="1:8" ht="15.75" customHeight="1" x14ac:dyDescent="0.2">
      <c r="A47" s="54" cm="1">
        <f t="array" ref="A47">IFERROR(INDEX(TRAINEES_ESDS,17),"")</f>
        <v>0</v>
      </c>
      <c r="B47" s="54" cm="1">
        <f t="array" ref="B47">IFERROR(INDEX(B_SHIFT_ESDS,33),"")</f>
        <v>0</v>
      </c>
      <c r="C47" s="54" t="str" cm="1">
        <f t="array" ref="C47">IFERROR(INDEX(D_SHIFT_ESDS,11),"")</f>
        <v>Jorge Rosales</v>
      </c>
    </row>
    <row r="48" spans="1:8" ht="15.75" customHeight="1" x14ac:dyDescent="0.2">
      <c r="A48" s="54" cm="1">
        <f t="array" ref="A48">IFERROR(INDEX(TRAINEES_ESDS,18),"")</f>
        <v>0</v>
      </c>
      <c r="B48" s="54" cm="1">
        <f t="array" ref="B48">IFERROR(INDEX(B_SHIFT_ESDS,34),"")</f>
        <v>0</v>
      </c>
      <c r="C48" s="54" t="str" cm="1">
        <f t="array" ref="C48">IFERROR(INDEX(D_SHIFT_ESDS,12),"")</f>
        <v>Cierra Chochrek</v>
      </c>
    </row>
    <row r="49" spans="1:3" ht="15.75" customHeight="1" x14ac:dyDescent="0.2">
      <c r="A49" s="54" cm="1">
        <f t="array" ref="A49">IFERROR(INDEX(TRAINEES_ESDS,19),"")</f>
        <v>0</v>
      </c>
      <c r="B49" s="54" cm="1">
        <f t="array" ref="B49">IFERROR(INDEX(B_SHIFT_ESDS,35),"")</f>
        <v>0</v>
      </c>
      <c r="C49" s="54" t="str" cm="1">
        <f t="array" ref="C49">IFERROR(INDEX(D_SHIFT_ESDS,13),"")</f>
        <v>Daniel Gallardo</v>
      </c>
    </row>
    <row r="50" spans="1:3" ht="15.75" customHeight="1" x14ac:dyDescent="0.2">
      <c r="A50" s="54" cm="1">
        <f t="array" ref="A50">IFERROR(INDEX(TRAINEES_ESDS,20),"")</f>
        <v>0</v>
      </c>
      <c r="B50" s="54" cm="1">
        <f t="array" ref="B50">IFERROR(INDEX(B_SHIFT_ESDS,36),"")</f>
        <v>0</v>
      </c>
      <c r="C50" s="54" cm="1">
        <f t="array" ref="C50">IFERROR(INDEX(D_SHIFT_ESDS,14),"")</f>
        <v>0</v>
      </c>
    </row>
    <row r="51" spans="1:3" ht="15.75" customHeight="1" x14ac:dyDescent="0.2">
      <c r="B51" s="54" cm="1">
        <f t="array" ref="B51">IFERROR(INDEX(B_SHIFT_ESDS,37),"")</f>
        <v>0</v>
      </c>
      <c r="C51" s="54" cm="1">
        <f t="array" ref="C51">IFERROR(INDEX(D_SHIFT_ESDS,15),"")</f>
        <v>0</v>
      </c>
    </row>
    <row r="52" spans="1:3" ht="15.75" customHeight="1" x14ac:dyDescent="0.2">
      <c r="B52" s="54" cm="1">
        <f t="array" ref="B52">IFERROR(INDEX(B_SHIFT_ESDS,38),"")</f>
        <v>0</v>
      </c>
      <c r="C52" s="54" cm="1">
        <f t="array" ref="C52">IFERROR(INDEX(D_SHIFT_ESDS,16),"")</f>
        <v>0</v>
      </c>
    </row>
    <row r="53" spans="1:3" ht="15.75" customHeight="1" x14ac:dyDescent="0.2">
      <c r="C53" s="54" cm="1">
        <f t="array" ref="C53">IFERROR(INDEX(D_SHIFT_ESDS,17),"")</f>
        <v>0</v>
      </c>
    </row>
    <row r="54" spans="1:3" ht="15.75" customHeight="1" x14ac:dyDescent="0.2"/>
    <row r="55" spans="1:3" ht="15.75" customHeight="1" x14ac:dyDescent="0.2"/>
    <row r="56" spans="1:3" ht="15.75" customHeight="1" x14ac:dyDescent="0.2"/>
    <row r="57" spans="1:3" ht="15.75" customHeight="1" x14ac:dyDescent="0.2"/>
    <row r="58" spans="1:3" ht="15.75" customHeight="1" x14ac:dyDescent="0.2"/>
    <row r="59" spans="1:3" ht="15.75" customHeight="1" x14ac:dyDescent="0.2"/>
    <row r="60" spans="1:3" ht="15.75" customHeight="1" x14ac:dyDescent="0.2"/>
    <row r="61" spans="1:3" ht="15.75" customHeight="1" x14ac:dyDescent="0.2"/>
    <row r="62" spans="1:3" ht="15.75" customHeight="1" x14ac:dyDescent="0.2"/>
    <row r="63" spans="1:3" ht="15.75" customHeight="1" x14ac:dyDescent="0.2"/>
    <row r="64" spans="1:3" ht="15.75" customHeight="1" x14ac:dyDescent="0.2"/>
    <row r="65" s="57" customFormat="1" ht="15.75" customHeight="1" x14ac:dyDescent="0.2"/>
    <row r="66" s="57" customFormat="1" ht="15.75" customHeight="1" x14ac:dyDescent="0.2"/>
    <row r="67" s="57" customFormat="1" ht="15.75" customHeight="1" x14ac:dyDescent="0.2"/>
    <row r="68" s="57" customFormat="1" ht="15.75" customHeight="1" x14ac:dyDescent="0.2"/>
    <row r="69" s="57" customFormat="1" ht="15.75" customHeight="1" x14ac:dyDescent="0.2"/>
    <row r="70" s="57" customFormat="1" ht="15.75" customHeight="1" x14ac:dyDescent="0.2"/>
    <row r="71" s="57" customFormat="1" ht="15.75" customHeight="1" x14ac:dyDescent="0.2"/>
    <row r="72" s="57" customFormat="1" ht="15.75" customHeight="1" x14ac:dyDescent="0.2"/>
    <row r="73" s="57" customFormat="1" ht="15.75" customHeight="1" x14ac:dyDescent="0.2"/>
    <row r="74" s="57" customFormat="1" ht="15.75" customHeight="1" x14ac:dyDescent="0.2"/>
    <row r="75" s="57" customFormat="1" ht="15.75" customHeight="1" x14ac:dyDescent="0.2"/>
    <row r="76" s="57" customFormat="1" ht="15.75" customHeight="1" x14ac:dyDescent="0.2"/>
    <row r="77" s="57" customFormat="1" ht="15.75" customHeight="1" x14ac:dyDescent="0.2"/>
    <row r="78" s="57" customFormat="1" ht="15.75" customHeight="1" x14ac:dyDescent="0.2"/>
    <row r="79" s="57" customFormat="1" ht="15.75" customHeight="1" x14ac:dyDescent="0.2"/>
    <row r="80" s="57" customFormat="1" ht="15.75" customHeight="1" x14ac:dyDescent="0.2"/>
    <row r="81" s="57" customFormat="1" ht="15.75" customHeight="1" x14ac:dyDescent="0.2"/>
    <row r="82" s="57" customFormat="1" ht="15.75" customHeight="1" x14ac:dyDescent="0.2"/>
    <row r="83" s="57" customFormat="1" ht="15.75" customHeight="1" x14ac:dyDescent="0.2"/>
    <row r="84" s="57" customFormat="1" ht="15.75" customHeight="1" x14ac:dyDescent="0.2"/>
    <row r="85" s="57" customFormat="1" ht="15.75" customHeight="1" x14ac:dyDescent="0.2"/>
    <row r="86" s="57" customFormat="1" ht="15.75" customHeight="1" x14ac:dyDescent="0.2"/>
    <row r="87" s="57" customFormat="1" ht="15.75" customHeight="1" x14ac:dyDescent="0.2"/>
    <row r="88" s="57" customFormat="1" ht="15.75" customHeight="1" x14ac:dyDescent="0.2"/>
    <row r="89" s="57" customFormat="1" ht="15.75" customHeight="1" x14ac:dyDescent="0.2"/>
    <row r="90" s="57" customFormat="1" ht="15.75" customHeight="1" x14ac:dyDescent="0.2"/>
    <row r="91" s="57" customFormat="1" ht="15.75" customHeight="1" x14ac:dyDescent="0.2"/>
    <row r="92" s="57" customFormat="1" ht="15.75" customHeight="1" x14ac:dyDescent="0.2"/>
    <row r="93" s="57" customFormat="1" ht="15.75" customHeight="1" x14ac:dyDescent="0.2"/>
    <row r="94" s="57" customFormat="1" ht="15.75" customHeight="1" x14ac:dyDescent="0.2"/>
    <row r="95" s="57" customFormat="1" ht="15.75" customHeight="1" x14ac:dyDescent="0.2"/>
    <row r="96" s="57" customFormat="1" ht="15.75" customHeight="1" x14ac:dyDescent="0.2"/>
    <row r="97" s="57" customFormat="1" ht="15.75" customHeight="1" x14ac:dyDescent="0.2"/>
    <row r="98" s="57" customFormat="1" ht="15.75" customHeight="1" x14ac:dyDescent="0.2"/>
    <row r="99" s="57" customFormat="1" ht="15.75" customHeight="1" x14ac:dyDescent="0.2"/>
    <row r="100" s="57" customFormat="1" ht="15.75" customHeight="1" x14ac:dyDescent="0.2"/>
    <row r="101" s="57" customFormat="1" ht="15.75" customHeight="1" x14ac:dyDescent="0.2"/>
    <row r="102" s="57" customFormat="1" ht="15.75" customHeight="1" x14ac:dyDescent="0.2"/>
    <row r="103" s="57" customFormat="1" ht="15.75" customHeight="1" x14ac:dyDescent="0.2"/>
    <row r="104" s="57" customFormat="1" ht="15.75" customHeight="1" x14ac:dyDescent="0.2"/>
    <row r="105" s="57" customFormat="1" ht="15.75" customHeight="1" x14ac:dyDescent="0.2"/>
    <row r="106" s="57" customFormat="1" ht="15.75" customHeight="1" x14ac:dyDescent="0.2"/>
    <row r="107" s="57" customFormat="1" ht="15.75" customHeight="1" x14ac:dyDescent="0.2"/>
    <row r="108" s="57" customFormat="1" ht="15.75" customHeight="1" x14ac:dyDescent="0.2"/>
    <row r="109" s="57" customFormat="1" ht="15.75" customHeight="1" x14ac:dyDescent="0.2"/>
    <row r="110" s="57" customFormat="1" ht="15.75" customHeight="1" x14ac:dyDescent="0.2"/>
    <row r="111" s="57" customFormat="1" ht="15.75" customHeight="1" x14ac:dyDescent="0.2"/>
    <row r="112" s="57" customFormat="1" ht="15.75" customHeight="1" x14ac:dyDescent="0.2"/>
    <row r="113" s="57" customFormat="1" ht="15.75" customHeight="1" x14ac:dyDescent="0.2"/>
    <row r="114" s="57" customFormat="1" ht="15.75" customHeight="1" x14ac:dyDescent="0.2"/>
    <row r="115" s="57" customFormat="1" ht="15.75" customHeight="1" x14ac:dyDescent="0.2"/>
    <row r="116" s="57" customFormat="1" ht="15.75" customHeight="1" x14ac:dyDescent="0.2"/>
    <row r="117" s="57" customFormat="1" ht="15.75" customHeight="1" x14ac:dyDescent="0.2"/>
    <row r="118" s="57" customFormat="1" ht="15.75" customHeight="1" x14ac:dyDescent="0.2"/>
    <row r="119" s="57" customFormat="1" ht="15.75" customHeight="1" x14ac:dyDescent="0.2"/>
    <row r="120" s="57" customFormat="1" ht="15.75" customHeight="1" x14ac:dyDescent="0.2"/>
    <row r="121" s="57" customFormat="1" ht="15.75" customHeight="1" x14ac:dyDescent="0.2"/>
    <row r="122" s="57" customFormat="1" ht="15.75" customHeight="1" x14ac:dyDescent="0.2"/>
    <row r="123" s="57" customFormat="1" ht="15.75" customHeight="1" x14ac:dyDescent="0.2"/>
    <row r="124" s="57" customFormat="1" ht="15.75" customHeight="1" x14ac:dyDescent="0.2"/>
    <row r="125" s="57" customFormat="1" ht="15.75" customHeight="1" x14ac:dyDescent="0.2"/>
    <row r="126" s="57" customFormat="1" ht="15.75" customHeight="1" x14ac:dyDescent="0.2"/>
    <row r="127" s="57" customFormat="1" ht="15.75" customHeight="1" x14ac:dyDescent="0.2"/>
    <row r="128" s="57" customFormat="1" ht="15.75" customHeight="1" x14ac:dyDescent="0.2"/>
    <row r="129" s="57" customFormat="1" ht="15.75" customHeight="1" x14ac:dyDescent="0.2"/>
    <row r="130" s="57" customFormat="1" ht="15.75" customHeight="1" x14ac:dyDescent="0.2"/>
    <row r="131" s="57" customFormat="1" ht="15.75" customHeight="1" x14ac:dyDescent="0.2"/>
    <row r="132" s="57" customFormat="1" ht="15.75" customHeight="1" x14ac:dyDescent="0.2"/>
    <row r="133" s="57" customFormat="1" ht="15.75" customHeight="1" x14ac:dyDescent="0.2"/>
    <row r="134" s="57" customFormat="1" ht="15.75" customHeight="1" x14ac:dyDescent="0.2"/>
    <row r="135" s="57" customFormat="1" ht="15.75" customHeight="1" x14ac:dyDescent="0.2"/>
    <row r="136" s="57" customFormat="1" ht="15.75" customHeight="1" x14ac:dyDescent="0.2"/>
    <row r="137" s="57" customFormat="1" ht="15.75" customHeight="1" x14ac:dyDescent="0.2"/>
    <row r="138" s="57" customFormat="1" ht="15.75" customHeight="1" x14ac:dyDescent="0.2"/>
    <row r="139" s="57" customFormat="1" ht="15.75" customHeight="1" x14ac:dyDescent="0.2"/>
    <row r="140" s="57" customFormat="1" ht="15.75" customHeight="1" x14ac:dyDescent="0.2"/>
    <row r="141" s="57" customFormat="1" ht="15.75" customHeight="1" x14ac:dyDescent="0.2"/>
    <row r="142" s="57" customFormat="1" ht="15.75" customHeight="1" x14ac:dyDescent="0.2"/>
    <row r="143" s="57" customFormat="1" ht="15.75" customHeight="1" x14ac:dyDescent="0.2"/>
    <row r="144" s="57" customFormat="1" ht="15.75" customHeight="1" x14ac:dyDescent="0.2"/>
    <row r="145" s="57" customFormat="1" ht="15.75" customHeight="1" x14ac:dyDescent="0.2"/>
    <row r="146" s="57" customFormat="1" ht="15.75" customHeight="1" x14ac:dyDescent="0.2"/>
    <row r="147" s="57" customFormat="1" ht="15.75" customHeight="1" x14ac:dyDescent="0.2"/>
    <row r="148" s="57" customFormat="1" ht="15.75" customHeight="1" x14ac:dyDescent="0.2"/>
    <row r="149" s="57" customFormat="1" ht="15.75" customHeight="1" x14ac:dyDescent="0.2"/>
    <row r="150" s="57" customFormat="1" ht="15.75" customHeight="1" x14ac:dyDescent="0.2"/>
    <row r="151" s="57" customFormat="1" ht="15.75" customHeight="1" x14ac:dyDescent="0.2"/>
    <row r="152" s="57" customFormat="1" ht="15.75" customHeight="1" x14ac:dyDescent="0.2"/>
    <row r="153" s="57" customFormat="1" ht="15.75" customHeight="1" x14ac:dyDescent="0.2"/>
    <row r="154" s="57" customFormat="1" ht="15.75" customHeight="1" x14ac:dyDescent="0.2"/>
    <row r="155" s="57" customFormat="1" ht="15.75" customHeight="1" x14ac:dyDescent="0.2"/>
    <row r="156" s="57" customFormat="1" ht="15.75" customHeight="1" x14ac:dyDescent="0.2"/>
    <row r="157" s="57" customFormat="1" ht="15.75" customHeight="1" x14ac:dyDescent="0.2"/>
    <row r="158" s="57" customFormat="1" ht="15.75" customHeight="1" x14ac:dyDescent="0.2"/>
    <row r="159" s="57" customFormat="1" ht="15.75" customHeight="1" x14ac:dyDescent="0.2"/>
    <row r="160" s="57" customFormat="1" ht="15.75" customHeight="1" x14ac:dyDescent="0.2"/>
    <row r="161" s="57" customFormat="1" ht="15.75" customHeight="1" x14ac:dyDescent="0.2"/>
    <row r="162" s="57" customFormat="1" ht="15.75" customHeight="1" x14ac:dyDescent="0.2"/>
    <row r="163" s="57" customFormat="1" ht="15.75" customHeight="1" x14ac:dyDescent="0.2"/>
    <row r="164" s="57" customFormat="1" ht="15.75" customHeight="1" x14ac:dyDescent="0.2"/>
    <row r="165" s="57" customFormat="1" ht="15.75" customHeight="1" x14ac:dyDescent="0.2"/>
    <row r="166" s="57" customFormat="1" ht="15.75" customHeight="1" x14ac:dyDescent="0.2"/>
    <row r="167" s="57" customFormat="1" ht="15.75" customHeight="1" x14ac:dyDescent="0.2"/>
    <row r="168" s="57" customFormat="1" ht="15.75" customHeight="1" x14ac:dyDescent="0.2"/>
    <row r="169" s="57" customFormat="1" ht="15.75" customHeight="1" x14ac:dyDescent="0.2"/>
    <row r="170" s="57" customFormat="1" ht="15.75" customHeight="1" x14ac:dyDescent="0.2"/>
    <row r="171" s="57" customFormat="1" ht="15.75" customHeight="1" x14ac:dyDescent="0.2"/>
    <row r="172" s="57" customFormat="1" ht="15.75" customHeight="1" x14ac:dyDescent="0.2"/>
    <row r="173" s="57" customFormat="1" ht="15.75" customHeight="1" x14ac:dyDescent="0.2"/>
    <row r="174" s="57" customFormat="1" ht="15.75" customHeight="1" x14ac:dyDescent="0.2"/>
    <row r="175" s="57" customFormat="1" ht="15.75" customHeight="1" x14ac:dyDescent="0.2"/>
    <row r="176" s="57" customFormat="1" ht="15.75" customHeight="1" x14ac:dyDescent="0.2"/>
    <row r="177" s="57" customFormat="1" ht="15.75" customHeight="1" x14ac:dyDescent="0.2"/>
    <row r="178" s="57" customFormat="1" ht="15.75" customHeight="1" x14ac:dyDescent="0.2"/>
    <row r="179" s="57" customFormat="1" ht="15.75" customHeight="1" x14ac:dyDescent="0.2"/>
    <row r="180" s="57" customFormat="1" ht="15.75" customHeight="1" x14ac:dyDescent="0.2"/>
    <row r="181" s="57" customFormat="1" ht="15.75" customHeight="1" x14ac:dyDescent="0.2"/>
    <row r="182" s="57" customFormat="1" ht="15.75" customHeight="1" x14ac:dyDescent="0.2"/>
    <row r="183" s="57" customFormat="1" ht="15.75" customHeight="1" x14ac:dyDescent="0.2"/>
    <row r="184" s="57" customFormat="1" ht="15.75" customHeight="1" x14ac:dyDescent="0.2"/>
    <row r="185" s="57" customFormat="1" ht="15.75" customHeight="1" x14ac:dyDescent="0.2"/>
    <row r="186" s="57" customFormat="1" ht="15.75" customHeight="1" x14ac:dyDescent="0.2"/>
    <row r="187" s="57" customFormat="1" ht="15.75" customHeight="1" x14ac:dyDescent="0.2"/>
    <row r="188" s="57" customFormat="1" ht="15.75" customHeight="1" x14ac:dyDescent="0.2"/>
    <row r="189" s="57" customFormat="1" ht="15.75" customHeight="1" x14ac:dyDescent="0.2"/>
    <row r="190" s="57" customFormat="1" ht="15.75" customHeight="1" x14ac:dyDescent="0.2"/>
    <row r="191" s="57" customFormat="1" ht="15.75" customHeight="1" x14ac:dyDescent="0.2"/>
    <row r="192" s="57" customFormat="1" ht="15.75" customHeight="1" x14ac:dyDescent="0.2"/>
    <row r="193" s="57" customFormat="1" ht="15.75" customHeight="1" x14ac:dyDescent="0.2"/>
    <row r="194" s="57" customFormat="1" ht="15.75" customHeight="1" x14ac:dyDescent="0.2"/>
    <row r="195" s="57" customFormat="1" ht="15.75" customHeight="1" x14ac:dyDescent="0.2"/>
    <row r="196" s="57" customFormat="1" ht="15.75" customHeight="1" x14ac:dyDescent="0.2"/>
    <row r="197" s="57" customFormat="1" ht="15.75" customHeight="1" x14ac:dyDescent="0.2"/>
    <row r="198" s="57" customFormat="1" ht="15.75" customHeight="1" x14ac:dyDescent="0.2"/>
    <row r="199" s="57" customFormat="1" ht="15.75" customHeight="1" x14ac:dyDescent="0.2"/>
    <row r="200" s="57" customFormat="1" ht="15.75" customHeight="1" x14ac:dyDescent="0.2"/>
    <row r="201" s="57" customFormat="1" ht="15.75" customHeight="1" x14ac:dyDescent="0.2"/>
    <row r="202" s="57" customFormat="1" ht="15.75" customHeight="1" x14ac:dyDescent="0.2"/>
    <row r="203" s="57" customFormat="1" ht="15.75" customHeight="1" x14ac:dyDescent="0.2"/>
    <row r="204" s="57" customFormat="1" ht="15.75" customHeight="1" x14ac:dyDescent="0.2"/>
    <row r="205" s="57" customFormat="1" ht="15.75" customHeight="1" x14ac:dyDescent="0.2"/>
    <row r="206" s="57" customFormat="1" ht="15.75" customHeight="1" x14ac:dyDescent="0.2"/>
    <row r="207" s="57" customFormat="1" ht="15.75" customHeight="1" x14ac:dyDescent="0.2"/>
    <row r="208" s="57" customFormat="1" ht="15.75" customHeight="1" x14ac:dyDescent="0.2"/>
    <row r="209" s="57" customFormat="1" ht="15.75" customHeight="1" x14ac:dyDescent="0.2"/>
    <row r="210" s="57" customFormat="1" ht="15.75" customHeight="1" x14ac:dyDescent="0.2"/>
    <row r="211" s="57" customFormat="1" ht="15.75" customHeight="1" x14ac:dyDescent="0.2"/>
    <row r="212" s="57" customFormat="1" ht="15.75" customHeight="1" x14ac:dyDescent="0.2"/>
    <row r="213" s="57" customFormat="1" ht="15.75" customHeight="1" x14ac:dyDescent="0.2"/>
    <row r="214" s="57" customFormat="1" ht="15.75" customHeight="1" x14ac:dyDescent="0.2"/>
    <row r="215" s="57" customFormat="1" ht="15.75" customHeight="1" x14ac:dyDescent="0.2"/>
    <row r="216" s="57" customFormat="1" ht="15.75" customHeight="1" x14ac:dyDescent="0.2"/>
    <row r="217" s="57" customFormat="1" ht="15.75" customHeight="1" x14ac:dyDescent="0.2"/>
    <row r="218" s="57" customFormat="1" ht="15.75" customHeight="1" x14ac:dyDescent="0.2"/>
    <row r="219" s="57" customFormat="1" ht="15.75" customHeight="1" x14ac:dyDescent="0.2"/>
    <row r="220" s="57" customFormat="1" ht="15.75" customHeight="1" x14ac:dyDescent="0.2"/>
    <row r="221" s="57" customFormat="1" ht="15.75" customHeight="1" x14ac:dyDescent="0.2"/>
    <row r="222" s="57" customFormat="1" ht="15.75" customHeight="1" x14ac:dyDescent="0.2"/>
    <row r="223" s="57" customFormat="1" ht="15.75" customHeight="1" x14ac:dyDescent="0.2"/>
    <row r="224" s="57" customFormat="1" ht="15.75" customHeight="1" x14ac:dyDescent="0.2"/>
    <row r="225" s="57" customFormat="1" ht="15.75" customHeight="1" x14ac:dyDescent="0.2"/>
    <row r="226" s="57" customFormat="1" ht="15.75" customHeight="1" x14ac:dyDescent="0.2"/>
    <row r="227" s="57" customFormat="1" ht="15.75" customHeight="1" x14ac:dyDescent="0.2"/>
    <row r="228" s="57" customFormat="1" ht="15.75" customHeight="1" x14ac:dyDescent="0.2"/>
    <row r="229" s="57" customFormat="1" ht="15.75" customHeight="1" x14ac:dyDescent="0.2"/>
    <row r="230" s="57" customFormat="1" ht="15.75" customHeight="1" x14ac:dyDescent="0.2"/>
    <row r="231" s="57" customFormat="1" ht="15.75" customHeight="1" x14ac:dyDescent="0.2"/>
    <row r="232" s="57" customFormat="1" ht="15.75" customHeight="1" x14ac:dyDescent="0.2"/>
    <row r="233" s="57" customFormat="1" ht="15.75" customHeight="1" x14ac:dyDescent="0.2"/>
    <row r="234" s="57" customFormat="1" ht="15.75" customHeight="1" x14ac:dyDescent="0.2"/>
    <row r="235" s="57" customFormat="1" ht="15.75" customHeight="1" x14ac:dyDescent="0.2"/>
    <row r="236" s="57" customFormat="1" ht="15.75" customHeight="1" x14ac:dyDescent="0.2"/>
    <row r="237" s="57" customFormat="1" ht="15.75" customHeight="1" x14ac:dyDescent="0.2"/>
    <row r="238" s="57" customFormat="1" ht="15.75" customHeight="1" x14ac:dyDescent="0.2"/>
    <row r="239" s="57" customFormat="1" ht="15.75" customHeight="1" x14ac:dyDescent="0.2"/>
    <row r="240" s="57" customFormat="1" ht="15.75" customHeight="1" x14ac:dyDescent="0.2"/>
    <row r="241" s="57" customFormat="1" ht="15.75" customHeight="1" x14ac:dyDescent="0.2"/>
    <row r="242" s="57" customFormat="1" ht="15.75" customHeight="1" x14ac:dyDescent="0.2"/>
    <row r="243" s="57" customFormat="1" ht="15.75" customHeight="1" x14ac:dyDescent="0.2"/>
    <row r="244" s="57" customFormat="1" ht="15.75" customHeight="1" x14ac:dyDescent="0.2"/>
    <row r="245" s="57" customFormat="1" ht="15.75" customHeight="1" x14ac:dyDescent="0.2"/>
    <row r="246" s="57" customFormat="1" ht="15.75" customHeight="1" x14ac:dyDescent="0.2"/>
    <row r="247" s="57" customFormat="1" ht="15.75" customHeight="1" x14ac:dyDescent="0.2"/>
    <row r="248" s="57" customFormat="1" ht="15.75" customHeight="1" x14ac:dyDescent="0.2"/>
    <row r="249" s="57" customFormat="1" ht="15.75" customHeight="1" x14ac:dyDescent="0.2"/>
    <row r="250" s="57" customFormat="1" ht="15.75" customHeight="1" x14ac:dyDescent="0.2"/>
    <row r="251" s="57" customFormat="1" ht="15.75" customHeight="1" x14ac:dyDescent="0.2"/>
    <row r="252" s="57" customFormat="1" ht="15.75" customHeight="1" x14ac:dyDescent="0.2"/>
    <row r="253" s="57" customFormat="1" ht="15.75" customHeight="1" x14ac:dyDescent="0.2"/>
    <row r="254" s="57" customFormat="1" ht="15.75" customHeight="1" x14ac:dyDescent="0.2"/>
    <row r="255" s="57" customFormat="1" ht="15.75" customHeight="1" x14ac:dyDescent="0.2"/>
    <row r="256" s="57" customFormat="1" ht="15.75" customHeight="1" x14ac:dyDescent="0.2"/>
    <row r="257" s="57" customFormat="1" ht="15.75" customHeight="1" x14ac:dyDescent="0.2"/>
    <row r="258" s="57" customFormat="1" ht="15.75" customHeight="1" x14ac:dyDescent="0.2"/>
    <row r="259" s="57" customFormat="1" ht="15.75" customHeight="1" x14ac:dyDescent="0.2"/>
    <row r="260" s="57" customFormat="1" ht="15.75" customHeight="1" x14ac:dyDescent="0.2"/>
    <row r="261" s="57" customFormat="1" ht="15.75" customHeight="1" x14ac:dyDescent="0.2"/>
    <row r="262" s="57" customFormat="1" ht="15.75" customHeight="1" x14ac:dyDescent="0.2"/>
    <row r="263" s="57" customFormat="1" ht="15.75" customHeight="1" x14ac:dyDescent="0.2"/>
    <row r="264" s="57" customFormat="1" ht="15.75" customHeight="1" x14ac:dyDescent="0.2"/>
    <row r="265" s="57" customFormat="1" ht="15.75" customHeight="1" x14ac:dyDescent="0.2"/>
    <row r="266" s="57" customFormat="1" ht="15.75" customHeight="1" x14ac:dyDescent="0.2"/>
    <row r="267" s="57" customFormat="1" ht="15.75" customHeight="1" x14ac:dyDescent="0.2"/>
    <row r="268" s="57" customFormat="1" ht="15.75" customHeight="1" x14ac:dyDescent="0.2"/>
    <row r="269" s="57" customFormat="1" ht="15.75" customHeight="1" x14ac:dyDescent="0.2"/>
    <row r="270" s="57" customFormat="1" ht="15.75" customHeight="1" x14ac:dyDescent="0.2"/>
    <row r="271" s="57" customFormat="1" ht="15.75" customHeight="1" x14ac:dyDescent="0.2"/>
    <row r="272" s="57" customFormat="1" ht="15.75" customHeight="1" x14ac:dyDescent="0.2"/>
    <row r="273" s="57" customFormat="1" ht="15.75" customHeight="1" x14ac:dyDescent="0.2"/>
    <row r="274" s="57" customFormat="1" ht="15.75" customHeight="1" x14ac:dyDescent="0.2"/>
    <row r="275" s="57" customFormat="1" ht="15.75" customHeight="1" x14ac:dyDescent="0.2"/>
    <row r="276" s="57" customFormat="1" ht="15.75" customHeight="1" x14ac:dyDescent="0.2"/>
    <row r="277" s="57" customFormat="1" ht="15.75" customHeight="1" x14ac:dyDescent="0.2"/>
    <row r="278" s="57" customFormat="1" ht="15.75" customHeight="1" x14ac:dyDescent="0.2"/>
    <row r="279" s="57" customFormat="1" ht="15.75" customHeight="1" x14ac:dyDescent="0.2"/>
    <row r="280" s="57" customFormat="1" ht="15.75" customHeight="1" x14ac:dyDescent="0.2"/>
    <row r="281" s="57" customFormat="1" ht="15.75" customHeight="1" x14ac:dyDescent="0.2"/>
    <row r="282" s="57" customFormat="1" ht="15.75" customHeight="1" x14ac:dyDescent="0.2"/>
    <row r="283" s="57" customFormat="1" ht="15.75" customHeight="1" x14ac:dyDescent="0.2"/>
    <row r="284" s="57" customFormat="1" ht="15.75" customHeight="1" x14ac:dyDescent="0.2"/>
    <row r="285" s="57" customFormat="1" ht="15.75" customHeight="1" x14ac:dyDescent="0.2"/>
    <row r="286" s="57" customFormat="1" ht="15.75" customHeight="1" x14ac:dyDescent="0.2"/>
    <row r="287" s="57" customFormat="1" ht="15.75" customHeight="1" x14ac:dyDescent="0.2"/>
    <row r="288" s="57" customFormat="1" ht="15.75" customHeight="1" x14ac:dyDescent="0.2"/>
    <row r="289" s="57" customFormat="1" ht="15.75" customHeight="1" x14ac:dyDescent="0.2"/>
    <row r="290" s="57" customFormat="1" ht="15.75" customHeight="1" x14ac:dyDescent="0.2"/>
    <row r="291" s="57" customFormat="1" ht="15.75" customHeight="1" x14ac:dyDescent="0.2"/>
    <row r="292" s="57" customFormat="1" ht="15.75" customHeight="1" x14ac:dyDescent="0.2"/>
    <row r="293" s="57" customFormat="1" ht="15.75" customHeight="1" x14ac:dyDescent="0.2"/>
    <row r="294" s="57" customFormat="1" ht="15.75" customHeight="1" x14ac:dyDescent="0.2"/>
    <row r="295" s="57" customFormat="1" ht="15.75" customHeight="1" x14ac:dyDescent="0.2"/>
    <row r="296" s="57" customFormat="1" ht="15.75" customHeight="1" x14ac:dyDescent="0.2"/>
    <row r="297" s="57" customFormat="1" ht="15.75" customHeight="1" x14ac:dyDescent="0.2"/>
    <row r="298" s="57" customFormat="1" ht="15.75" customHeight="1" x14ac:dyDescent="0.2"/>
    <row r="299" s="57" customFormat="1" ht="15.75" customHeight="1" x14ac:dyDescent="0.2"/>
    <row r="300" s="57" customFormat="1" ht="15.75" customHeight="1" x14ac:dyDescent="0.2"/>
    <row r="301" s="57" customFormat="1" ht="15.75" customHeight="1" x14ac:dyDescent="0.2"/>
    <row r="302" s="57" customFormat="1" ht="15.75" customHeight="1" x14ac:dyDescent="0.2"/>
    <row r="303" s="57" customFormat="1" ht="15.75" customHeight="1" x14ac:dyDescent="0.2"/>
    <row r="304" s="57" customFormat="1" ht="15.75" customHeight="1" x14ac:dyDescent="0.2"/>
    <row r="305" s="57" customFormat="1" ht="15.75" customHeight="1" x14ac:dyDescent="0.2"/>
    <row r="306" s="57" customFormat="1" ht="15.75" customHeight="1" x14ac:dyDescent="0.2"/>
    <row r="307" s="57" customFormat="1" ht="15.75" customHeight="1" x14ac:dyDescent="0.2"/>
    <row r="308" s="57" customFormat="1" ht="15.75" customHeight="1" x14ac:dyDescent="0.2"/>
    <row r="309" s="57" customFormat="1" ht="15.75" customHeight="1" x14ac:dyDescent="0.2"/>
    <row r="310" s="57" customFormat="1" ht="15.75" customHeight="1" x14ac:dyDescent="0.2"/>
    <row r="311" s="57" customFormat="1" ht="15.75" customHeight="1" x14ac:dyDescent="0.2"/>
    <row r="312" s="57" customFormat="1" ht="15.75" customHeight="1" x14ac:dyDescent="0.2"/>
    <row r="313" s="57" customFormat="1" ht="15.75" customHeight="1" x14ac:dyDescent="0.2"/>
    <row r="314" s="57" customFormat="1" ht="15.75" customHeight="1" x14ac:dyDescent="0.2"/>
    <row r="315" s="57" customFormat="1" ht="15.75" customHeight="1" x14ac:dyDescent="0.2"/>
    <row r="316" s="57" customFormat="1" ht="15.75" customHeight="1" x14ac:dyDescent="0.2"/>
    <row r="317" s="57" customFormat="1" ht="15.75" customHeight="1" x14ac:dyDescent="0.2"/>
    <row r="318" s="57" customFormat="1" ht="15.75" customHeight="1" x14ac:dyDescent="0.2"/>
    <row r="319" s="57" customFormat="1" ht="15.75" customHeight="1" x14ac:dyDescent="0.2"/>
    <row r="320" s="57" customFormat="1" ht="15.75" customHeight="1" x14ac:dyDescent="0.2"/>
    <row r="321" s="57" customFormat="1" ht="15.75" customHeight="1" x14ac:dyDescent="0.2"/>
    <row r="322" s="57" customFormat="1" ht="15.75" customHeight="1" x14ac:dyDescent="0.2"/>
    <row r="323" s="57" customFormat="1" ht="15.75" customHeight="1" x14ac:dyDescent="0.2"/>
    <row r="324" s="57" customFormat="1" ht="15.75" customHeight="1" x14ac:dyDescent="0.2"/>
    <row r="325" s="57" customFormat="1" ht="15.75" customHeight="1" x14ac:dyDescent="0.2"/>
    <row r="326" s="57" customFormat="1" ht="15.75" customHeight="1" x14ac:dyDescent="0.2"/>
    <row r="327" s="57" customFormat="1" ht="15.75" customHeight="1" x14ac:dyDescent="0.2"/>
    <row r="328" s="57" customFormat="1" ht="15.75" customHeight="1" x14ac:dyDescent="0.2"/>
    <row r="329" s="57" customFormat="1" ht="15.75" customHeight="1" x14ac:dyDescent="0.2"/>
    <row r="330" s="57" customFormat="1" ht="15.75" customHeight="1" x14ac:dyDescent="0.2"/>
    <row r="331" s="57" customFormat="1" ht="15.75" customHeight="1" x14ac:dyDescent="0.2"/>
    <row r="332" s="57" customFormat="1" ht="15.75" customHeight="1" x14ac:dyDescent="0.2"/>
    <row r="333" s="57" customFormat="1" ht="15.75" customHeight="1" x14ac:dyDescent="0.2"/>
    <row r="334" s="57" customFormat="1" ht="15.75" customHeight="1" x14ac:dyDescent="0.2"/>
    <row r="335" s="57" customFormat="1" ht="15.75" customHeight="1" x14ac:dyDescent="0.2"/>
    <row r="336" s="57" customFormat="1" ht="15.75" customHeight="1" x14ac:dyDescent="0.2"/>
    <row r="337" s="57" customFormat="1" ht="15.75" customHeight="1" x14ac:dyDescent="0.2"/>
    <row r="338" s="57" customFormat="1" ht="15.75" customHeight="1" x14ac:dyDescent="0.2"/>
    <row r="339" s="57" customFormat="1" ht="15.75" customHeight="1" x14ac:dyDescent="0.2"/>
    <row r="340" s="57" customFormat="1" ht="15.75" customHeight="1" x14ac:dyDescent="0.2"/>
    <row r="341" s="57" customFormat="1" ht="15.75" customHeight="1" x14ac:dyDescent="0.2"/>
    <row r="342" s="57" customFormat="1" ht="15.75" customHeight="1" x14ac:dyDescent="0.2"/>
    <row r="343" s="57" customFormat="1" ht="15.75" customHeight="1" x14ac:dyDescent="0.2"/>
    <row r="344" s="57" customFormat="1" ht="15.75" customHeight="1" x14ac:dyDescent="0.2"/>
    <row r="345" s="57" customFormat="1" ht="15.75" customHeight="1" x14ac:dyDescent="0.2"/>
    <row r="346" s="57" customFormat="1" ht="15.75" customHeight="1" x14ac:dyDescent="0.2"/>
    <row r="347" s="57" customFormat="1" ht="15.75" customHeight="1" x14ac:dyDescent="0.2"/>
    <row r="348" s="57" customFormat="1" ht="15.75" customHeight="1" x14ac:dyDescent="0.2"/>
    <row r="349" s="57" customFormat="1" ht="15.75" customHeight="1" x14ac:dyDescent="0.2"/>
    <row r="350" s="57" customFormat="1" ht="15.75" customHeight="1" x14ac:dyDescent="0.2"/>
    <row r="351" s="57" customFormat="1" ht="15.75" customHeight="1" x14ac:dyDescent="0.2"/>
    <row r="352" s="57" customFormat="1" ht="15.75" customHeight="1" x14ac:dyDescent="0.2"/>
    <row r="353" s="57" customFormat="1" ht="15.75" customHeight="1" x14ac:dyDescent="0.2"/>
    <row r="354" s="57" customFormat="1" ht="15.75" customHeight="1" x14ac:dyDescent="0.2"/>
    <row r="355" s="57" customFormat="1" ht="15.75" customHeight="1" x14ac:dyDescent="0.2"/>
    <row r="356" s="57" customFormat="1" ht="15.75" customHeight="1" x14ac:dyDescent="0.2"/>
    <row r="357" s="57" customFormat="1" ht="15.75" customHeight="1" x14ac:dyDescent="0.2"/>
    <row r="358" s="57" customFormat="1" ht="15.75" customHeight="1" x14ac:dyDescent="0.2"/>
    <row r="359" s="57" customFormat="1" ht="15.75" customHeight="1" x14ac:dyDescent="0.2"/>
    <row r="360" s="57" customFormat="1" ht="15.75" customHeight="1" x14ac:dyDescent="0.2"/>
    <row r="361" s="57" customFormat="1" ht="15.75" customHeight="1" x14ac:dyDescent="0.2"/>
    <row r="362" s="57" customFormat="1" ht="15.75" customHeight="1" x14ac:dyDescent="0.2"/>
    <row r="363" s="57" customFormat="1" ht="15.75" customHeight="1" x14ac:dyDescent="0.2"/>
    <row r="364" s="57" customFormat="1" ht="15.75" customHeight="1" x14ac:dyDescent="0.2"/>
    <row r="365" s="57" customFormat="1" ht="15.75" customHeight="1" x14ac:dyDescent="0.2"/>
    <row r="366" s="57" customFormat="1" ht="15.75" customHeight="1" x14ac:dyDescent="0.2"/>
    <row r="367" s="57" customFormat="1" ht="15.75" customHeight="1" x14ac:dyDescent="0.2"/>
    <row r="368" s="57" customFormat="1" ht="15.75" customHeight="1" x14ac:dyDescent="0.2"/>
    <row r="369" s="57" customFormat="1" ht="15.75" customHeight="1" x14ac:dyDescent="0.2"/>
    <row r="370" s="57" customFormat="1" ht="15.75" customHeight="1" x14ac:dyDescent="0.2"/>
    <row r="371" s="57" customFormat="1" ht="15.75" customHeight="1" x14ac:dyDescent="0.2"/>
    <row r="372" s="57" customFormat="1" ht="15.75" customHeight="1" x14ac:dyDescent="0.2"/>
    <row r="373" s="57" customFormat="1" ht="15.75" customHeight="1" x14ac:dyDescent="0.2"/>
    <row r="374" s="57" customFormat="1" ht="15.75" customHeight="1" x14ac:dyDescent="0.2"/>
    <row r="375" s="57" customFormat="1" ht="15.75" customHeight="1" x14ac:dyDescent="0.2"/>
    <row r="376" s="57" customFormat="1" ht="15.75" customHeight="1" x14ac:dyDescent="0.2"/>
    <row r="377" s="57" customFormat="1" ht="15.75" customHeight="1" x14ac:dyDescent="0.2"/>
    <row r="378" s="57" customFormat="1" ht="15.75" customHeight="1" x14ac:dyDescent="0.2"/>
    <row r="379" s="57" customFormat="1" ht="15.75" customHeight="1" x14ac:dyDescent="0.2"/>
    <row r="380" s="57" customFormat="1" ht="15.75" customHeight="1" x14ac:dyDescent="0.2"/>
    <row r="381" s="57" customFormat="1" ht="15.75" customHeight="1" x14ac:dyDescent="0.2"/>
    <row r="382" s="57" customFormat="1" ht="15.75" customHeight="1" x14ac:dyDescent="0.2"/>
    <row r="383" s="57" customFormat="1" ht="15.75" customHeight="1" x14ac:dyDescent="0.2"/>
    <row r="384" s="57" customFormat="1" ht="15.75" customHeight="1" x14ac:dyDescent="0.2"/>
    <row r="385" s="57" customFormat="1" ht="15.75" customHeight="1" x14ac:dyDescent="0.2"/>
    <row r="386" s="57" customFormat="1" ht="15.75" customHeight="1" x14ac:dyDescent="0.2"/>
    <row r="387" s="57" customFormat="1" ht="15.75" customHeight="1" x14ac:dyDescent="0.2"/>
    <row r="388" s="57" customFormat="1" ht="15.75" customHeight="1" x14ac:dyDescent="0.2"/>
    <row r="389" s="57" customFormat="1" ht="15.75" customHeight="1" x14ac:dyDescent="0.2"/>
    <row r="390" s="57" customFormat="1" ht="15.75" customHeight="1" x14ac:dyDescent="0.2"/>
    <row r="391" s="57" customFormat="1" ht="15.75" customHeight="1" x14ac:dyDescent="0.2"/>
    <row r="392" s="57" customFormat="1" ht="15.75" customHeight="1" x14ac:dyDescent="0.2"/>
    <row r="393" s="57" customFormat="1" ht="15.75" customHeight="1" x14ac:dyDescent="0.2"/>
    <row r="394" s="57" customFormat="1" ht="15.75" customHeight="1" x14ac:dyDescent="0.2"/>
    <row r="395" s="57" customFormat="1" ht="15.75" customHeight="1" x14ac:dyDescent="0.2"/>
    <row r="396" s="57" customFormat="1" ht="15.75" customHeight="1" x14ac:dyDescent="0.2"/>
    <row r="397" s="57" customFormat="1" ht="15.75" customHeight="1" x14ac:dyDescent="0.2"/>
    <row r="398" s="57" customFormat="1" ht="15.75" customHeight="1" x14ac:dyDescent="0.2"/>
    <row r="399" s="57" customFormat="1" ht="15.75" customHeight="1" x14ac:dyDescent="0.2"/>
    <row r="400" s="57" customFormat="1" ht="15.75" customHeight="1" x14ac:dyDescent="0.2"/>
    <row r="401" s="57" customFormat="1" ht="15.75" customHeight="1" x14ac:dyDescent="0.2"/>
    <row r="402" s="57" customFormat="1" ht="15.75" customHeight="1" x14ac:dyDescent="0.2"/>
    <row r="403" s="57" customFormat="1" ht="15.75" customHeight="1" x14ac:dyDescent="0.2"/>
    <row r="404" s="57" customFormat="1" ht="15.75" customHeight="1" x14ac:dyDescent="0.2"/>
    <row r="405" s="57" customFormat="1" ht="15.75" customHeight="1" x14ac:dyDescent="0.2"/>
    <row r="406" s="57" customFormat="1" ht="15.75" customHeight="1" x14ac:dyDescent="0.2"/>
    <row r="407" s="57" customFormat="1" ht="15.75" customHeight="1" x14ac:dyDescent="0.2"/>
    <row r="408" s="57" customFormat="1" ht="15.75" customHeight="1" x14ac:dyDescent="0.2"/>
    <row r="409" s="57" customFormat="1" ht="15.75" customHeight="1" x14ac:dyDescent="0.2"/>
    <row r="410" s="57" customFormat="1" ht="15.75" customHeight="1" x14ac:dyDescent="0.2"/>
    <row r="411" s="57" customFormat="1" ht="15.75" customHeight="1" x14ac:dyDescent="0.2"/>
    <row r="412" s="57" customFormat="1" ht="15.75" customHeight="1" x14ac:dyDescent="0.2"/>
    <row r="413" s="57" customFormat="1" ht="15.75" customHeight="1" x14ac:dyDescent="0.2"/>
    <row r="414" s="57" customFormat="1" ht="15.75" customHeight="1" x14ac:dyDescent="0.2"/>
    <row r="415" s="57" customFormat="1" ht="15.75" customHeight="1" x14ac:dyDescent="0.2"/>
    <row r="416" s="57" customFormat="1" ht="15.75" customHeight="1" x14ac:dyDescent="0.2"/>
    <row r="417" s="57" customFormat="1" ht="15.75" customHeight="1" x14ac:dyDescent="0.2"/>
    <row r="418" s="57" customFormat="1" ht="15.75" customHeight="1" x14ac:dyDescent="0.2"/>
    <row r="419" s="57" customFormat="1" ht="15.75" customHeight="1" x14ac:dyDescent="0.2"/>
    <row r="420" s="57" customFormat="1" ht="15.75" customHeight="1" x14ac:dyDescent="0.2"/>
    <row r="421" s="57" customFormat="1" ht="15.75" customHeight="1" x14ac:dyDescent="0.2"/>
    <row r="422" s="57" customFormat="1" ht="15.75" customHeight="1" x14ac:dyDescent="0.2"/>
    <row r="423" s="57" customFormat="1" ht="15.75" customHeight="1" x14ac:dyDescent="0.2"/>
    <row r="424" s="57" customFormat="1" ht="15.75" customHeight="1" x14ac:dyDescent="0.2"/>
    <row r="425" s="57" customFormat="1" ht="15.75" customHeight="1" x14ac:dyDescent="0.2"/>
    <row r="426" s="57" customFormat="1" ht="15.75" customHeight="1" x14ac:dyDescent="0.2"/>
    <row r="427" s="57" customFormat="1" ht="15.75" customHeight="1" x14ac:dyDescent="0.2"/>
    <row r="428" s="57" customFormat="1" ht="15.75" customHeight="1" x14ac:dyDescent="0.2"/>
    <row r="429" s="57" customFormat="1" ht="15.75" customHeight="1" x14ac:dyDescent="0.2"/>
    <row r="430" s="57" customFormat="1" ht="15.75" customHeight="1" x14ac:dyDescent="0.2"/>
    <row r="431" s="57" customFormat="1" ht="15.75" customHeight="1" x14ac:dyDescent="0.2"/>
    <row r="432" s="57" customFormat="1" ht="15.75" customHeight="1" x14ac:dyDescent="0.2"/>
    <row r="433" s="57" customFormat="1" ht="15.75" customHeight="1" x14ac:dyDescent="0.2"/>
    <row r="434" s="57" customFormat="1" ht="15.75" customHeight="1" x14ac:dyDescent="0.2"/>
    <row r="435" s="57" customFormat="1" ht="15.75" customHeight="1" x14ac:dyDescent="0.2"/>
    <row r="436" s="57" customFormat="1" ht="15.75" customHeight="1" x14ac:dyDescent="0.2"/>
    <row r="437" s="57" customFormat="1" ht="15.75" customHeight="1" x14ac:dyDescent="0.2"/>
    <row r="438" s="57" customFormat="1" ht="15.75" customHeight="1" x14ac:dyDescent="0.2"/>
    <row r="439" s="57" customFormat="1" ht="15.75" customHeight="1" x14ac:dyDescent="0.2"/>
    <row r="440" s="57" customFormat="1" ht="15.75" customHeight="1" x14ac:dyDescent="0.2"/>
    <row r="441" s="57" customFormat="1" ht="15.75" customHeight="1" x14ac:dyDescent="0.2"/>
    <row r="442" s="57" customFormat="1" ht="15.75" customHeight="1" x14ac:dyDescent="0.2"/>
    <row r="443" s="57" customFormat="1" ht="15.75" customHeight="1" x14ac:dyDescent="0.2"/>
    <row r="444" s="57" customFormat="1" ht="15.75" customHeight="1" x14ac:dyDescent="0.2"/>
    <row r="445" s="57" customFormat="1" ht="15.75" customHeight="1" x14ac:dyDescent="0.2"/>
    <row r="446" s="57" customFormat="1" ht="15.75" customHeight="1" x14ac:dyDescent="0.2"/>
    <row r="447" s="57" customFormat="1" ht="15.75" customHeight="1" x14ac:dyDescent="0.2"/>
    <row r="448" s="57" customFormat="1" ht="15.75" customHeight="1" x14ac:dyDescent="0.2"/>
    <row r="449" s="57" customFormat="1" ht="15.75" customHeight="1" x14ac:dyDescent="0.2"/>
    <row r="450" s="57" customFormat="1" ht="15.75" customHeight="1" x14ac:dyDescent="0.2"/>
    <row r="451" s="57" customFormat="1" ht="15.75" customHeight="1" x14ac:dyDescent="0.2"/>
    <row r="452" s="57" customFormat="1" ht="15.75" customHeight="1" x14ac:dyDescent="0.2"/>
    <row r="453" s="57" customFormat="1" ht="15.75" customHeight="1" x14ac:dyDescent="0.2"/>
    <row r="454" s="57" customFormat="1" ht="15.75" customHeight="1" x14ac:dyDescent="0.2"/>
    <row r="455" s="57" customFormat="1" ht="15.75" customHeight="1" x14ac:dyDescent="0.2"/>
    <row r="456" s="57" customFormat="1" ht="15.75" customHeight="1" x14ac:dyDescent="0.2"/>
    <row r="457" s="57" customFormat="1" ht="15.75" customHeight="1" x14ac:dyDescent="0.2"/>
    <row r="458" s="57" customFormat="1" ht="15.75" customHeight="1" x14ac:dyDescent="0.2"/>
    <row r="459" s="57" customFormat="1" ht="15.75" customHeight="1" x14ac:dyDescent="0.2"/>
    <row r="460" s="57" customFormat="1" ht="15.75" customHeight="1" x14ac:dyDescent="0.2"/>
    <row r="461" s="57" customFormat="1" ht="15.75" customHeight="1" x14ac:dyDescent="0.2"/>
    <row r="462" s="57" customFormat="1" ht="15.75" customHeight="1" x14ac:dyDescent="0.2"/>
    <row r="463" s="57" customFormat="1" ht="15.75" customHeight="1" x14ac:dyDescent="0.2"/>
    <row r="464" s="57" customFormat="1" ht="15.75" customHeight="1" x14ac:dyDescent="0.2"/>
    <row r="465" s="57" customFormat="1" ht="15.75" customHeight="1" x14ac:dyDescent="0.2"/>
    <row r="466" s="57" customFormat="1" ht="15.75" customHeight="1" x14ac:dyDescent="0.2"/>
    <row r="467" s="57" customFormat="1" ht="15.75" customHeight="1" x14ac:dyDescent="0.2"/>
    <row r="468" s="57" customFormat="1" ht="15.75" customHeight="1" x14ac:dyDescent="0.2"/>
    <row r="469" s="57" customFormat="1" ht="15.75" customHeight="1" x14ac:dyDescent="0.2"/>
    <row r="470" s="57" customFormat="1" ht="15.75" customHeight="1" x14ac:dyDescent="0.2"/>
    <row r="471" s="57" customFormat="1" ht="15.75" customHeight="1" x14ac:dyDescent="0.2"/>
    <row r="472" s="57" customFormat="1" ht="15.75" customHeight="1" x14ac:dyDescent="0.2"/>
    <row r="473" s="57" customFormat="1" ht="15.75" customHeight="1" x14ac:dyDescent="0.2"/>
    <row r="474" s="57" customFormat="1" ht="15.75" customHeight="1" x14ac:dyDescent="0.2"/>
    <row r="475" s="57" customFormat="1" ht="15.75" customHeight="1" x14ac:dyDescent="0.2"/>
    <row r="476" s="57" customFormat="1" ht="15.75" customHeight="1" x14ac:dyDescent="0.2"/>
    <row r="477" s="57" customFormat="1" ht="15.75" customHeight="1" x14ac:dyDescent="0.2"/>
    <row r="478" s="57" customFormat="1" ht="15.75" customHeight="1" x14ac:dyDescent="0.2"/>
    <row r="479" s="57" customFormat="1" ht="15.75" customHeight="1" x14ac:dyDescent="0.2"/>
    <row r="480" s="57" customFormat="1" ht="15.75" customHeight="1" x14ac:dyDescent="0.2"/>
    <row r="481" s="57" customFormat="1" ht="15.75" customHeight="1" x14ac:dyDescent="0.2"/>
    <row r="482" s="57" customFormat="1" ht="15.75" customHeight="1" x14ac:dyDescent="0.2"/>
    <row r="483" s="57" customFormat="1" ht="15.75" customHeight="1" x14ac:dyDescent="0.2"/>
    <row r="484" s="57" customFormat="1" ht="15.75" customHeight="1" x14ac:dyDescent="0.2"/>
    <row r="485" s="57" customFormat="1" ht="15.75" customHeight="1" x14ac:dyDescent="0.2"/>
    <row r="486" s="57" customFormat="1" ht="15.75" customHeight="1" x14ac:dyDescent="0.2"/>
    <row r="487" s="57" customFormat="1" ht="15.75" customHeight="1" x14ac:dyDescent="0.2"/>
    <row r="488" s="57" customFormat="1" ht="15.75" customHeight="1" x14ac:dyDescent="0.2"/>
    <row r="489" s="57" customFormat="1" ht="15.75" customHeight="1" x14ac:dyDescent="0.2"/>
    <row r="490" s="57" customFormat="1" ht="15.75" customHeight="1" x14ac:dyDescent="0.2"/>
    <row r="491" s="57" customFormat="1" ht="15.75" customHeight="1" x14ac:dyDescent="0.2"/>
    <row r="492" s="57" customFormat="1" ht="15.75" customHeight="1" x14ac:dyDescent="0.2"/>
    <row r="493" s="57" customFormat="1" ht="15.75" customHeight="1" x14ac:dyDescent="0.2"/>
    <row r="494" s="57" customFormat="1" ht="15.75" customHeight="1" x14ac:dyDescent="0.2"/>
    <row r="495" s="57" customFormat="1" ht="15.75" customHeight="1" x14ac:dyDescent="0.2"/>
    <row r="496" s="57" customFormat="1" ht="15.75" customHeight="1" x14ac:dyDescent="0.2"/>
    <row r="497" s="57" customFormat="1" ht="15.75" customHeight="1" x14ac:dyDescent="0.2"/>
    <row r="498" s="57" customFormat="1" ht="15.75" customHeight="1" x14ac:dyDescent="0.2"/>
    <row r="499" s="57" customFormat="1" ht="15.75" customHeight="1" x14ac:dyDescent="0.2"/>
    <row r="500" s="57" customFormat="1" ht="15.75" customHeight="1" x14ac:dyDescent="0.2"/>
    <row r="501" s="57" customFormat="1" ht="15.75" customHeight="1" x14ac:dyDescent="0.2"/>
    <row r="502" s="57" customFormat="1" ht="15.75" customHeight="1" x14ac:dyDescent="0.2"/>
    <row r="503" s="57" customFormat="1" ht="15.75" customHeight="1" x14ac:dyDescent="0.2"/>
    <row r="504" s="57" customFormat="1" ht="15.75" customHeight="1" x14ac:dyDescent="0.2"/>
    <row r="505" s="57" customFormat="1" ht="15.75" customHeight="1" x14ac:dyDescent="0.2"/>
    <row r="506" s="57" customFormat="1" ht="15.75" customHeight="1" x14ac:dyDescent="0.2"/>
    <row r="507" s="57" customFormat="1" ht="15.75" customHeight="1" x14ac:dyDescent="0.2"/>
    <row r="508" s="57" customFormat="1" ht="15.75" customHeight="1" x14ac:dyDescent="0.2"/>
    <row r="509" s="57" customFormat="1" ht="15.75" customHeight="1" x14ac:dyDescent="0.2"/>
    <row r="510" s="57" customFormat="1" ht="15.75" customHeight="1" x14ac:dyDescent="0.2"/>
    <row r="511" s="57" customFormat="1" ht="15.75" customHeight="1" x14ac:dyDescent="0.2"/>
    <row r="512" s="57" customFormat="1" ht="15.75" customHeight="1" x14ac:dyDescent="0.2"/>
    <row r="513" s="57" customFormat="1" ht="15.75" customHeight="1" x14ac:dyDescent="0.2"/>
    <row r="514" s="57" customFormat="1" ht="15.75" customHeight="1" x14ac:dyDescent="0.2"/>
    <row r="515" s="57" customFormat="1" ht="15.75" customHeight="1" x14ac:dyDescent="0.2"/>
    <row r="516" s="57" customFormat="1" ht="15.75" customHeight="1" x14ac:dyDescent="0.2"/>
    <row r="517" s="57" customFormat="1" ht="15.75" customHeight="1" x14ac:dyDescent="0.2"/>
    <row r="518" s="57" customFormat="1" ht="15.75" customHeight="1" x14ac:dyDescent="0.2"/>
    <row r="519" s="57" customFormat="1" ht="15.75" customHeight="1" x14ac:dyDescent="0.2"/>
    <row r="520" s="57" customFormat="1" ht="15.75" customHeight="1" x14ac:dyDescent="0.2"/>
    <row r="521" s="57" customFormat="1" ht="15.75" customHeight="1" x14ac:dyDescent="0.2"/>
    <row r="522" s="57" customFormat="1" ht="15.75" customHeight="1" x14ac:dyDescent="0.2"/>
    <row r="523" s="57" customFormat="1" ht="15.75" customHeight="1" x14ac:dyDescent="0.2"/>
    <row r="524" s="57" customFormat="1" ht="15.75" customHeight="1" x14ac:dyDescent="0.2"/>
    <row r="525" s="57" customFormat="1" ht="15.75" customHeight="1" x14ac:dyDescent="0.2"/>
    <row r="526" s="57" customFormat="1" ht="15.75" customHeight="1" x14ac:dyDescent="0.2"/>
    <row r="527" s="57" customFormat="1" ht="15.75" customHeight="1" x14ac:dyDescent="0.2"/>
    <row r="528" s="57" customFormat="1" ht="15.75" customHeight="1" x14ac:dyDescent="0.2"/>
    <row r="529" s="57" customFormat="1" ht="15.75" customHeight="1" x14ac:dyDescent="0.2"/>
    <row r="530" s="57" customFormat="1" ht="15.75" customHeight="1" x14ac:dyDescent="0.2"/>
    <row r="531" s="57" customFormat="1" ht="15.75" customHeight="1" x14ac:dyDescent="0.2"/>
    <row r="532" s="57" customFormat="1" ht="15.75" customHeight="1" x14ac:dyDescent="0.2"/>
    <row r="533" s="57" customFormat="1" ht="15.75" customHeight="1" x14ac:dyDescent="0.2"/>
    <row r="534" s="57" customFormat="1" ht="15.75" customHeight="1" x14ac:dyDescent="0.2"/>
    <row r="535" s="57" customFormat="1" ht="15.75" customHeight="1" x14ac:dyDescent="0.2"/>
    <row r="536" s="57" customFormat="1" ht="15.75" customHeight="1" x14ac:dyDescent="0.2"/>
    <row r="537" s="57" customFormat="1" ht="15.75" customHeight="1" x14ac:dyDescent="0.2"/>
    <row r="538" s="57" customFormat="1" ht="15.75" customHeight="1" x14ac:dyDescent="0.2"/>
    <row r="539" s="57" customFormat="1" ht="15.75" customHeight="1" x14ac:dyDescent="0.2"/>
    <row r="540" s="57" customFormat="1" ht="15.75" customHeight="1" x14ac:dyDescent="0.2"/>
    <row r="541" s="57" customFormat="1" ht="15.75" customHeight="1" x14ac:dyDescent="0.2"/>
    <row r="542" s="57" customFormat="1" ht="15.75" customHeight="1" x14ac:dyDescent="0.2"/>
    <row r="543" s="57" customFormat="1" ht="15.75" customHeight="1" x14ac:dyDescent="0.2"/>
    <row r="544" s="57" customFormat="1" ht="15.75" customHeight="1" x14ac:dyDescent="0.2"/>
    <row r="545" s="57" customFormat="1" ht="15.75" customHeight="1" x14ac:dyDescent="0.2"/>
    <row r="546" s="57" customFormat="1" ht="15.75" customHeight="1" x14ac:dyDescent="0.2"/>
    <row r="547" s="57" customFormat="1" ht="15.75" customHeight="1" x14ac:dyDescent="0.2"/>
    <row r="548" s="57" customFormat="1" ht="15.75" customHeight="1" x14ac:dyDescent="0.2"/>
    <row r="549" s="57" customFormat="1" ht="15.75" customHeight="1" x14ac:dyDescent="0.2"/>
    <row r="550" s="57" customFormat="1" ht="15.75" customHeight="1" x14ac:dyDescent="0.2"/>
    <row r="551" s="57" customFormat="1" ht="15.75" customHeight="1" x14ac:dyDescent="0.2"/>
    <row r="552" s="57" customFormat="1" ht="15.75" customHeight="1" x14ac:dyDescent="0.2"/>
    <row r="553" s="57" customFormat="1" ht="15.75" customHeight="1" x14ac:dyDescent="0.2"/>
    <row r="554" s="57" customFormat="1" ht="15.75" customHeight="1" x14ac:dyDescent="0.2"/>
    <row r="555" s="57" customFormat="1" ht="15.75" customHeight="1" x14ac:dyDescent="0.2"/>
    <row r="556" s="57" customFormat="1" ht="15.75" customHeight="1" x14ac:dyDescent="0.2"/>
    <row r="557" s="57" customFormat="1" ht="15.75" customHeight="1" x14ac:dyDescent="0.2"/>
    <row r="558" s="57" customFormat="1" ht="15.75" customHeight="1" x14ac:dyDescent="0.2"/>
    <row r="559" s="57" customFormat="1" ht="15.75" customHeight="1" x14ac:dyDescent="0.2"/>
    <row r="560" s="57" customFormat="1" ht="15.75" customHeight="1" x14ac:dyDescent="0.2"/>
    <row r="561" s="57" customFormat="1" ht="15.75" customHeight="1" x14ac:dyDescent="0.2"/>
    <row r="562" s="57" customFormat="1" ht="15.75" customHeight="1" x14ac:dyDescent="0.2"/>
    <row r="563" s="57" customFormat="1" ht="15.75" customHeight="1" x14ac:dyDescent="0.2"/>
    <row r="564" s="57" customFormat="1" ht="15.75" customHeight="1" x14ac:dyDescent="0.2"/>
    <row r="565" s="57" customFormat="1" ht="15.75" customHeight="1" x14ac:dyDescent="0.2"/>
    <row r="566" s="57" customFormat="1" ht="15.75" customHeight="1" x14ac:dyDescent="0.2"/>
    <row r="567" s="57" customFormat="1" ht="15.75" customHeight="1" x14ac:dyDescent="0.2"/>
    <row r="568" s="57" customFormat="1" ht="15.75" customHeight="1" x14ac:dyDescent="0.2"/>
    <row r="569" s="57" customFormat="1" ht="15.75" customHeight="1" x14ac:dyDescent="0.2"/>
    <row r="570" s="57" customFormat="1" ht="15.75" customHeight="1" x14ac:dyDescent="0.2"/>
    <row r="571" s="57" customFormat="1" ht="15.75" customHeight="1" x14ac:dyDescent="0.2"/>
    <row r="572" s="57" customFormat="1" ht="15.75" customHeight="1" x14ac:dyDescent="0.2"/>
    <row r="573" s="57" customFormat="1" ht="15.75" customHeight="1" x14ac:dyDescent="0.2"/>
    <row r="574" s="57" customFormat="1" ht="15.75" customHeight="1" x14ac:dyDescent="0.2"/>
    <row r="575" s="57" customFormat="1" ht="15.75" customHeight="1" x14ac:dyDescent="0.2"/>
    <row r="576" s="57" customFormat="1" ht="15.75" customHeight="1" x14ac:dyDescent="0.2"/>
    <row r="577" s="57" customFormat="1" ht="15.75" customHeight="1" x14ac:dyDescent="0.2"/>
    <row r="578" s="57" customFormat="1" ht="15.75" customHeight="1" x14ac:dyDescent="0.2"/>
    <row r="579" s="57" customFormat="1" ht="15.75" customHeight="1" x14ac:dyDescent="0.2"/>
    <row r="580" s="57" customFormat="1" ht="15.75" customHeight="1" x14ac:dyDescent="0.2"/>
    <row r="581" s="57" customFormat="1" ht="15.75" customHeight="1" x14ac:dyDescent="0.2"/>
    <row r="582" s="57" customFormat="1" ht="15.75" customHeight="1" x14ac:dyDescent="0.2"/>
    <row r="583" s="57" customFormat="1" ht="15.75" customHeight="1" x14ac:dyDescent="0.2"/>
    <row r="584" s="57" customFormat="1" ht="15.75" customHeight="1" x14ac:dyDescent="0.2"/>
    <row r="585" s="57" customFormat="1" ht="15.75" customHeight="1" x14ac:dyDescent="0.2"/>
    <row r="586" s="57" customFormat="1" ht="15.75" customHeight="1" x14ac:dyDescent="0.2"/>
    <row r="587" s="57" customFormat="1" ht="15.75" customHeight="1" x14ac:dyDescent="0.2"/>
    <row r="588" s="57" customFormat="1" ht="15.75" customHeight="1" x14ac:dyDescent="0.2"/>
    <row r="589" s="57" customFormat="1" ht="15.75" customHeight="1" x14ac:dyDescent="0.2"/>
    <row r="590" s="57" customFormat="1" ht="15.75" customHeight="1" x14ac:dyDescent="0.2"/>
    <row r="591" s="57" customFormat="1" ht="15.75" customHeight="1" x14ac:dyDescent="0.2"/>
    <row r="592" s="57" customFormat="1" ht="15.75" customHeight="1" x14ac:dyDescent="0.2"/>
    <row r="593" s="57" customFormat="1" ht="15.75" customHeight="1" x14ac:dyDescent="0.2"/>
    <row r="594" s="57" customFormat="1" ht="15.75" customHeight="1" x14ac:dyDescent="0.2"/>
    <row r="595" s="57" customFormat="1" ht="15.75" customHeight="1" x14ac:dyDescent="0.2"/>
    <row r="596" s="57" customFormat="1" ht="15.75" customHeight="1" x14ac:dyDescent="0.2"/>
    <row r="597" s="57" customFormat="1" ht="15.75" customHeight="1" x14ac:dyDescent="0.2"/>
    <row r="598" s="57" customFormat="1" ht="15.75" customHeight="1" x14ac:dyDescent="0.2"/>
    <row r="599" s="57" customFormat="1" ht="15.75" customHeight="1" x14ac:dyDescent="0.2"/>
    <row r="600" s="57" customFormat="1" ht="15.75" customHeight="1" x14ac:dyDescent="0.2"/>
    <row r="601" s="57" customFormat="1" ht="15.75" customHeight="1" x14ac:dyDescent="0.2"/>
    <row r="602" s="57" customFormat="1" ht="15.75" customHeight="1" x14ac:dyDescent="0.2"/>
    <row r="603" s="57" customFormat="1" ht="15.75" customHeight="1" x14ac:dyDescent="0.2"/>
    <row r="604" s="57" customFormat="1" ht="15.75" customHeight="1" x14ac:dyDescent="0.2"/>
    <row r="605" s="57" customFormat="1" ht="15.75" customHeight="1" x14ac:dyDescent="0.2"/>
    <row r="606" s="57" customFormat="1" ht="15.75" customHeight="1" x14ac:dyDescent="0.2"/>
    <row r="607" s="57" customFormat="1" ht="15.75" customHeight="1" x14ac:dyDescent="0.2"/>
    <row r="608" s="57" customFormat="1" ht="15.75" customHeight="1" x14ac:dyDescent="0.2"/>
    <row r="609" s="57" customFormat="1" ht="15.75" customHeight="1" x14ac:dyDescent="0.2"/>
    <row r="610" s="57" customFormat="1" ht="15.75" customHeight="1" x14ac:dyDescent="0.2"/>
    <row r="611" s="57" customFormat="1" ht="15.75" customHeight="1" x14ac:dyDescent="0.2"/>
    <row r="612" s="57" customFormat="1" ht="15.75" customHeight="1" x14ac:dyDescent="0.2"/>
    <row r="613" s="57" customFormat="1" ht="15.75" customHeight="1" x14ac:dyDescent="0.2"/>
    <row r="614" s="57" customFormat="1" ht="15.75" customHeight="1" x14ac:dyDescent="0.2"/>
    <row r="615" s="57" customFormat="1" ht="15.75" customHeight="1" x14ac:dyDescent="0.2"/>
    <row r="616" s="57" customFormat="1" ht="15.75" customHeight="1" x14ac:dyDescent="0.2"/>
    <row r="617" s="57" customFormat="1" ht="15.75" customHeight="1" x14ac:dyDescent="0.2"/>
    <row r="618" s="57" customFormat="1" ht="15.75" customHeight="1" x14ac:dyDescent="0.2"/>
    <row r="619" s="57" customFormat="1" ht="15.75" customHeight="1" x14ac:dyDescent="0.2"/>
    <row r="620" s="57" customFormat="1" ht="15.75" customHeight="1" x14ac:dyDescent="0.2"/>
    <row r="621" s="57" customFormat="1" ht="15.75" customHeight="1" x14ac:dyDescent="0.2"/>
    <row r="622" s="57" customFormat="1" ht="15.75" customHeight="1" x14ac:dyDescent="0.2"/>
    <row r="623" s="57" customFormat="1" ht="15.75" customHeight="1" x14ac:dyDescent="0.2"/>
    <row r="624" s="57" customFormat="1" ht="15.75" customHeight="1" x14ac:dyDescent="0.2"/>
    <row r="625" s="57" customFormat="1" ht="15.75" customHeight="1" x14ac:dyDescent="0.2"/>
    <row r="626" s="57" customFormat="1" ht="15.75" customHeight="1" x14ac:dyDescent="0.2"/>
    <row r="627" s="57" customFormat="1" ht="15.75" customHeight="1" x14ac:dyDescent="0.2"/>
    <row r="628" s="57" customFormat="1" ht="15.75" customHeight="1" x14ac:dyDescent="0.2"/>
    <row r="629" s="57" customFormat="1" ht="15.75" customHeight="1" x14ac:dyDescent="0.2"/>
    <row r="630" s="57" customFormat="1" ht="15.75" customHeight="1" x14ac:dyDescent="0.2"/>
    <row r="631" s="57" customFormat="1" ht="15.75" customHeight="1" x14ac:dyDescent="0.2"/>
    <row r="632" s="57" customFormat="1" ht="15.75" customHeight="1" x14ac:dyDescent="0.2"/>
    <row r="633" s="57" customFormat="1" ht="15.75" customHeight="1" x14ac:dyDescent="0.2"/>
    <row r="634" s="57" customFormat="1" ht="15.75" customHeight="1" x14ac:dyDescent="0.2"/>
    <row r="635" s="57" customFormat="1" ht="15.75" customHeight="1" x14ac:dyDescent="0.2"/>
    <row r="636" s="57" customFormat="1" ht="15.75" customHeight="1" x14ac:dyDescent="0.2"/>
    <row r="637" s="57" customFormat="1" ht="15.75" customHeight="1" x14ac:dyDescent="0.2"/>
    <row r="638" s="57" customFormat="1" ht="15.75" customHeight="1" x14ac:dyDescent="0.2"/>
    <row r="639" s="57" customFormat="1" ht="15.75" customHeight="1" x14ac:dyDescent="0.2"/>
    <row r="640" s="57" customFormat="1" ht="15.75" customHeight="1" x14ac:dyDescent="0.2"/>
    <row r="641" s="57" customFormat="1" ht="15.75" customHeight="1" x14ac:dyDescent="0.2"/>
    <row r="642" s="57" customFormat="1" ht="15.75" customHeight="1" x14ac:dyDescent="0.2"/>
    <row r="643" s="57" customFormat="1" ht="15.75" customHeight="1" x14ac:dyDescent="0.2"/>
    <row r="644" s="57" customFormat="1" ht="15.75" customHeight="1" x14ac:dyDescent="0.2"/>
    <row r="645" s="57" customFormat="1" ht="15.75" customHeight="1" x14ac:dyDescent="0.2"/>
    <row r="646" s="57" customFormat="1" ht="15.75" customHeight="1" x14ac:dyDescent="0.2"/>
    <row r="647" s="57" customFormat="1" ht="15.75" customHeight="1" x14ac:dyDescent="0.2"/>
    <row r="648" s="57" customFormat="1" ht="15.75" customHeight="1" x14ac:dyDescent="0.2"/>
    <row r="649" s="57" customFormat="1" ht="15.75" customHeight="1" x14ac:dyDescent="0.2"/>
    <row r="650" s="57" customFormat="1" ht="15.75" customHeight="1" x14ac:dyDescent="0.2"/>
    <row r="651" s="57" customFormat="1" ht="15.75" customHeight="1" x14ac:dyDescent="0.2"/>
    <row r="652" s="57" customFormat="1" ht="15.75" customHeight="1" x14ac:dyDescent="0.2"/>
    <row r="653" s="57" customFormat="1" ht="15.75" customHeight="1" x14ac:dyDescent="0.2"/>
    <row r="654" s="57" customFormat="1" ht="15.75" customHeight="1" x14ac:dyDescent="0.2"/>
    <row r="655" s="57" customFormat="1" ht="15.75" customHeight="1" x14ac:dyDescent="0.2"/>
    <row r="656" s="57" customFormat="1" ht="15.75" customHeight="1" x14ac:dyDescent="0.2"/>
    <row r="657" s="57" customFormat="1" ht="15.75" customHeight="1" x14ac:dyDescent="0.2"/>
    <row r="658" s="57" customFormat="1" ht="15.75" customHeight="1" x14ac:dyDescent="0.2"/>
    <row r="659" s="57" customFormat="1" ht="15.75" customHeight="1" x14ac:dyDescent="0.2"/>
    <row r="660" s="57" customFormat="1" ht="15.75" customHeight="1" x14ac:dyDescent="0.2"/>
    <row r="661" s="57" customFormat="1" ht="15.75" customHeight="1" x14ac:dyDescent="0.2"/>
    <row r="662" s="57" customFormat="1" ht="15.75" customHeight="1" x14ac:dyDescent="0.2"/>
    <row r="663" s="57" customFormat="1" ht="15.75" customHeight="1" x14ac:dyDescent="0.2"/>
    <row r="664" s="57" customFormat="1" ht="15.75" customHeight="1" x14ac:dyDescent="0.2"/>
    <row r="665" s="57" customFormat="1" ht="15.75" customHeight="1" x14ac:dyDescent="0.2"/>
    <row r="666" s="57" customFormat="1" ht="15.75" customHeight="1" x14ac:dyDescent="0.2"/>
    <row r="667" s="57" customFormat="1" ht="15.75" customHeight="1" x14ac:dyDescent="0.2"/>
    <row r="668" s="57" customFormat="1" ht="15.75" customHeight="1" x14ac:dyDescent="0.2"/>
    <row r="669" s="57" customFormat="1" ht="15.75" customHeight="1" x14ac:dyDescent="0.2"/>
    <row r="670" s="57" customFormat="1" ht="15.75" customHeight="1" x14ac:dyDescent="0.2"/>
    <row r="671" s="57" customFormat="1" ht="15.75" customHeight="1" x14ac:dyDescent="0.2"/>
    <row r="672" s="57" customFormat="1" ht="15.75" customHeight="1" x14ac:dyDescent="0.2"/>
    <row r="673" s="57" customFormat="1" ht="15.75" customHeight="1" x14ac:dyDescent="0.2"/>
    <row r="674" s="57" customFormat="1" ht="15.75" customHeight="1" x14ac:dyDescent="0.2"/>
    <row r="675" s="57" customFormat="1" ht="15.75" customHeight="1" x14ac:dyDescent="0.2"/>
    <row r="676" s="57" customFormat="1" ht="15.75" customHeight="1" x14ac:dyDescent="0.2"/>
    <row r="677" s="57" customFormat="1" ht="15.75" customHeight="1" x14ac:dyDescent="0.2"/>
    <row r="678" s="57" customFormat="1" ht="15.75" customHeight="1" x14ac:dyDescent="0.2"/>
    <row r="679" s="57" customFormat="1" ht="15.75" customHeight="1" x14ac:dyDescent="0.2"/>
    <row r="680" s="57" customFormat="1" ht="15.75" customHeight="1" x14ac:dyDescent="0.2"/>
    <row r="681" s="57" customFormat="1" ht="15.75" customHeight="1" x14ac:dyDescent="0.2"/>
    <row r="682" s="57" customFormat="1" ht="15.75" customHeight="1" x14ac:dyDescent="0.2"/>
    <row r="683" s="57" customFormat="1" ht="15.75" customHeight="1" x14ac:dyDescent="0.2"/>
    <row r="684" s="57" customFormat="1" ht="15.75" customHeight="1" x14ac:dyDescent="0.2"/>
    <row r="685" s="57" customFormat="1" ht="15.75" customHeight="1" x14ac:dyDescent="0.2"/>
    <row r="686" s="57" customFormat="1" ht="15.75" customHeight="1" x14ac:dyDescent="0.2"/>
    <row r="687" s="57" customFormat="1" ht="15.75" customHeight="1" x14ac:dyDescent="0.2"/>
    <row r="688" s="57" customFormat="1" ht="15.75" customHeight="1" x14ac:dyDescent="0.2"/>
    <row r="689" s="57" customFormat="1" ht="15.75" customHeight="1" x14ac:dyDescent="0.2"/>
    <row r="690" s="57" customFormat="1" ht="15.75" customHeight="1" x14ac:dyDescent="0.2"/>
    <row r="691" s="57" customFormat="1" ht="15.75" customHeight="1" x14ac:dyDescent="0.2"/>
    <row r="692" s="57" customFormat="1" ht="15.75" customHeight="1" x14ac:dyDescent="0.2"/>
    <row r="693" s="57" customFormat="1" ht="15.75" customHeight="1" x14ac:dyDescent="0.2"/>
    <row r="694" s="57" customFormat="1" ht="15.75" customHeight="1" x14ac:dyDescent="0.2"/>
    <row r="695" s="57" customFormat="1" ht="15.75" customHeight="1" x14ac:dyDescent="0.2"/>
    <row r="696" s="57" customFormat="1" ht="15.75" customHeight="1" x14ac:dyDescent="0.2"/>
    <row r="697" s="57" customFormat="1" ht="15.75" customHeight="1" x14ac:dyDescent="0.2"/>
    <row r="698" s="57" customFormat="1" ht="15.75" customHeight="1" x14ac:dyDescent="0.2"/>
    <row r="699" s="57" customFormat="1" ht="15.75" customHeight="1" x14ac:dyDescent="0.2"/>
    <row r="700" s="57" customFormat="1" ht="15.75" customHeight="1" x14ac:dyDescent="0.2"/>
    <row r="701" s="57" customFormat="1" ht="15.75" customHeight="1" x14ac:dyDescent="0.2"/>
    <row r="702" s="57" customFormat="1" ht="15.75" customHeight="1" x14ac:dyDescent="0.2"/>
    <row r="703" s="57" customFormat="1" ht="15.75" customHeight="1" x14ac:dyDescent="0.2"/>
    <row r="704" s="57" customFormat="1" ht="15.75" customHeight="1" x14ac:dyDescent="0.2"/>
    <row r="705" s="57" customFormat="1" ht="15.75" customHeight="1" x14ac:dyDescent="0.2"/>
    <row r="706" s="57" customFormat="1" ht="15.75" customHeight="1" x14ac:dyDescent="0.2"/>
    <row r="707" s="57" customFormat="1" ht="15.75" customHeight="1" x14ac:dyDescent="0.2"/>
    <row r="708" s="57" customFormat="1" ht="15.75" customHeight="1" x14ac:dyDescent="0.2"/>
    <row r="709" s="57" customFormat="1" ht="15.75" customHeight="1" x14ac:dyDescent="0.2"/>
    <row r="710" s="57" customFormat="1" ht="15.75" customHeight="1" x14ac:dyDescent="0.2"/>
    <row r="711" s="57" customFormat="1" ht="15.75" customHeight="1" x14ac:dyDescent="0.2"/>
    <row r="712" s="57" customFormat="1" ht="15.75" customHeight="1" x14ac:dyDescent="0.2"/>
    <row r="713" s="57" customFormat="1" ht="15.75" customHeight="1" x14ac:dyDescent="0.2"/>
    <row r="714" s="57" customFormat="1" ht="15.75" customHeight="1" x14ac:dyDescent="0.2"/>
    <row r="715" s="57" customFormat="1" ht="15.75" customHeight="1" x14ac:dyDescent="0.2"/>
    <row r="716" s="57" customFormat="1" ht="15.75" customHeight="1" x14ac:dyDescent="0.2"/>
    <row r="717" s="57" customFormat="1" ht="15.75" customHeight="1" x14ac:dyDescent="0.2"/>
    <row r="718" s="57" customFormat="1" ht="15.75" customHeight="1" x14ac:dyDescent="0.2"/>
    <row r="719" s="57" customFormat="1" ht="15.75" customHeight="1" x14ac:dyDescent="0.2"/>
    <row r="720" s="57" customFormat="1" ht="15.75" customHeight="1" x14ac:dyDescent="0.2"/>
    <row r="721" s="57" customFormat="1" ht="15.75" customHeight="1" x14ac:dyDescent="0.2"/>
    <row r="722" s="57" customFormat="1" ht="15.75" customHeight="1" x14ac:dyDescent="0.2"/>
    <row r="723" s="57" customFormat="1" ht="15.75" customHeight="1" x14ac:dyDescent="0.2"/>
    <row r="724" s="57" customFormat="1" ht="15.75" customHeight="1" x14ac:dyDescent="0.2"/>
    <row r="725" s="57" customFormat="1" ht="15.75" customHeight="1" x14ac:dyDescent="0.2"/>
    <row r="726" s="57" customFormat="1" ht="15.75" customHeight="1" x14ac:dyDescent="0.2"/>
    <row r="727" s="57" customFormat="1" ht="15.75" customHeight="1" x14ac:dyDescent="0.2"/>
    <row r="728" s="57" customFormat="1" ht="15.75" customHeight="1" x14ac:dyDescent="0.2"/>
    <row r="729" s="57" customFormat="1" ht="15.75" customHeight="1" x14ac:dyDescent="0.2"/>
    <row r="730" s="57" customFormat="1" ht="15.75" customHeight="1" x14ac:dyDescent="0.2"/>
    <row r="731" s="57" customFormat="1" ht="15.75" customHeight="1" x14ac:dyDescent="0.2"/>
    <row r="732" s="57" customFormat="1" ht="15.75" customHeight="1" x14ac:dyDescent="0.2"/>
    <row r="733" s="57" customFormat="1" ht="15.75" customHeight="1" x14ac:dyDescent="0.2"/>
    <row r="734" s="57" customFormat="1" ht="15.75" customHeight="1" x14ac:dyDescent="0.2"/>
    <row r="735" s="57" customFormat="1" ht="15.75" customHeight="1" x14ac:dyDescent="0.2"/>
    <row r="736" s="57" customFormat="1" ht="15.75" customHeight="1" x14ac:dyDescent="0.2"/>
    <row r="737" s="57" customFormat="1" ht="15.75" customHeight="1" x14ac:dyDescent="0.2"/>
    <row r="738" s="57" customFormat="1" ht="15.75" customHeight="1" x14ac:dyDescent="0.2"/>
    <row r="739" s="57" customFormat="1" ht="15.75" customHeight="1" x14ac:dyDescent="0.2"/>
    <row r="740" s="57" customFormat="1" ht="15.75" customHeight="1" x14ac:dyDescent="0.2"/>
    <row r="741" s="57" customFormat="1" ht="15.75" customHeight="1" x14ac:dyDescent="0.2"/>
    <row r="742" s="57" customFormat="1" ht="15.75" customHeight="1" x14ac:dyDescent="0.2"/>
    <row r="743" s="57" customFormat="1" ht="15.75" customHeight="1" x14ac:dyDescent="0.2"/>
    <row r="744" s="57" customFormat="1" ht="15.75" customHeight="1" x14ac:dyDescent="0.2"/>
    <row r="745" s="57" customFormat="1" ht="15.75" customHeight="1" x14ac:dyDescent="0.2"/>
    <row r="746" s="57" customFormat="1" ht="15.75" customHeight="1" x14ac:dyDescent="0.2"/>
    <row r="747" s="57" customFormat="1" ht="15.75" customHeight="1" x14ac:dyDescent="0.2"/>
    <row r="748" s="57" customFormat="1" ht="15.75" customHeight="1" x14ac:dyDescent="0.2"/>
    <row r="749" s="57" customFormat="1" ht="15.75" customHeight="1" x14ac:dyDescent="0.2"/>
    <row r="750" s="57" customFormat="1" ht="15.75" customHeight="1" x14ac:dyDescent="0.2"/>
    <row r="751" s="57" customFormat="1" ht="15.75" customHeight="1" x14ac:dyDescent="0.2"/>
    <row r="752" s="57" customFormat="1" ht="15.75" customHeight="1" x14ac:dyDescent="0.2"/>
    <row r="753" s="57" customFormat="1" ht="15.75" customHeight="1" x14ac:dyDescent="0.2"/>
    <row r="754" s="57" customFormat="1" ht="15.75" customHeight="1" x14ac:dyDescent="0.2"/>
    <row r="755" s="57" customFormat="1" ht="15.75" customHeight="1" x14ac:dyDescent="0.2"/>
    <row r="756" s="57" customFormat="1" ht="15.75" customHeight="1" x14ac:dyDescent="0.2"/>
    <row r="757" s="57" customFormat="1" ht="15.75" customHeight="1" x14ac:dyDescent="0.2"/>
    <row r="758" s="57" customFormat="1" ht="15.75" customHeight="1" x14ac:dyDescent="0.2"/>
    <row r="759" s="57" customFormat="1" ht="15.75" customHeight="1" x14ac:dyDescent="0.2"/>
    <row r="760" s="57" customFormat="1" ht="15.75" customHeight="1" x14ac:dyDescent="0.2"/>
    <row r="761" s="57" customFormat="1" ht="15.75" customHeight="1" x14ac:dyDescent="0.2"/>
    <row r="762" s="57" customFormat="1" ht="15.75" customHeight="1" x14ac:dyDescent="0.2"/>
    <row r="763" s="57" customFormat="1" ht="15.75" customHeight="1" x14ac:dyDescent="0.2"/>
    <row r="764" s="57" customFormat="1" ht="15.75" customHeight="1" x14ac:dyDescent="0.2"/>
    <row r="765" s="57" customFormat="1" ht="15.75" customHeight="1" x14ac:dyDescent="0.2"/>
    <row r="766" s="57" customFormat="1" ht="15.75" customHeight="1" x14ac:dyDescent="0.2"/>
    <row r="767" s="57" customFormat="1" ht="15.75" customHeight="1" x14ac:dyDescent="0.2"/>
    <row r="768" s="57" customFormat="1" ht="15.75" customHeight="1" x14ac:dyDescent="0.2"/>
    <row r="769" s="57" customFormat="1" ht="15.75" customHeight="1" x14ac:dyDescent="0.2"/>
    <row r="770" s="57" customFormat="1" ht="15.75" customHeight="1" x14ac:dyDescent="0.2"/>
    <row r="771" s="57" customFormat="1" ht="15.75" customHeight="1" x14ac:dyDescent="0.2"/>
    <row r="772" s="57" customFormat="1" ht="15.75" customHeight="1" x14ac:dyDescent="0.2"/>
    <row r="773" s="57" customFormat="1" ht="15.75" customHeight="1" x14ac:dyDescent="0.2"/>
    <row r="774" s="57" customFormat="1" ht="15.75" customHeight="1" x14ac:dyDescent="0.2"/>
    <row r="775" s="57" customFormat="1" ht="15.75" customHeight="1" x14ac:dyDescent="0.2"/>
    <row r="776" s="57" customFormat="1" ht="15.75" customHeight="1" x14ac:dyDescent="0.2"/>
    <row r="777" s="57" customFormat="1" ht="15.75" customHeight="1" x14ac:dyDescent="0.2"/>
    <row r="778" s="57" customFormat="1" ht="15.75" customHeight="1" x14ac:dyDescent="0.2"/>
    <row r="779" s="57" customFormat="1" ht="15.75" customHeight="1" x14ac:dyDescent="0.2"/>
    <row r="780" s="57" customFormat="1" ht="15.75" customHeight="1" x14ac:dyDescent="0.2"/>
    <row r="781" s="57" customFormat="1" ht="15.75" customHeight="1" x14ac:dyDescent="0.2"/>
    <row r="782" s="57" customFormat="1" ht="15.75" customHeight="1" x14ac:dyDescent="0.2"/>
    <row r="783" s="57" customFormat="1" ht="15.75" customHeight="1" x14ac:dyDescent="0.2"/>
    <row r="784" s="57" customFormat="1" ht="15.75" customHeight="1" x14ac:dyDescent="0.2"/>
    <row r="785" s="57" customFormat="1" ht="15.75" customHeight="1" x14ac:dyDescent="0.2"/>
    <row r="786" s="57" customFormat="1" ht="15.75" customHeight="1" x14ac:dyDescent="0.2"/>
    <row r="787" s="57" customFormat="1" ht="15.75" customHeight="1" x14ac:dyDescent="0.2"/>
    <row r="788" s="57" customFormat="1" ht="15.75" customHeight="1" x14ac:dyDescent="0.2"/>
    <row r="789" s="57" customFormat="1" ht="15.75" customHeight="1" x14ac:dyDescent="0.2"/>
    <row r="790" s="57" customFormat="1" ht="15.75" customHeight="1" x14ac:dyDescent="0.2"/>
    <row r="791" s="57" customFormat="1" ht="15.75" customHeight="1" x14ac:dyDescent="0.2"/>
    <row r="792" s="57" customFormat="1" ht="15.75" customHeight="1" x14ac:dyDescent="0.2"/>
    <row r="793" s="57" customFormat="1" ht="15.75" customHeight="1" x14ac:dyDescent="0.2"/>
    <row r="794" s="57" customFormat="1" ht="15.75" customHeight="1" x14ac:dyDescent="0.2"/>
    <row r="795" s="57" customFormat="1" ht="15.75" customHeight="1" x14ac:dyDescent="0.2"/>
    <row r="796" s="57" customFormat="1" ht="15.75" customHeight="1" x14ac:dyDescent="0.2"/>
    <row r="797" s="57" customFormat="1" ht="15.75" customHeight="1" x14ac:dyDescent="0.2"/>
    <row r="798" s="57" customFormat="1" ht="15.75" customHeight="1" x14ac:dyDescent="0.2"/>
    <row r="799" s="57" customFormat="1" ht="15.75" customHeight="1" x14ac:dyDescent="0.2"/>
    <row r="800" s="57" customFormat="1" ht="15.75" customHeight="1" x14ac:dyDescent="0.2"/>
    <row r="801" s="57" customFormat="1" ht="15.75" customHeight="1" x14ac:dyDescent="0.2"/>
    <row r="802" s="57" customFormat="1" ht="15.75" customHeight="1" x14ac:dyDescent="0.2"/>
    <row r="803" s="57" customFormat="1" ht="15.75" customHeight="1" x14ac:dyDescent="0.2"/>
    <row r="804" s="57" customFormat="1" ht="15.75" customHeight="1" x14ac:dyDescent="0.2"/>
    <row r="805" s="57" customFormat="1" ht="15.75" customHeight="1" x14ac:dyDescent="0.2"/>
    <row r="806" s="57" customFormat="1" ht="15.75" customHeight="1" x14ac:dyDescent="0.2"/>
    <row r="807" s="57" customFormat="1" ht="15.75" customHeight="1" x14ac:dyDescent="0.2"/>
    <row r="808" s="57" customFormat="1" ht="15.75" customHeight="1" x14ac:dyDescent="0.2"/>
    <row r="809" s="57" customFormat="1" ht="15.75" customHeight="1" x14ac:dyDescent="0.2"/>
    <row r="810" s="57" customFormat="1" ht="15.75" customHeight="1" x14ac:dyDescent="0.2"/>
    <row r="811" s="57" customFormat="1" ht="15.75" customHeight="1" x14ac:dyDescent="0.2"/>
    <row r="812" s="57" customFormat="1" ht="15.75" customHeight="1" x14ac:dyDescent="0.2"/>
    <row r="813" s="57" customFormat="1" ht="15.75" customHeight="1" x14ac:dyDescent="0.2"/>
    <row r="814" s="57" customFormat="1" ht="15.75" customHeight="1" x14ac:dyDescent="0.2"/>
    <row r="815" s="57" customFormat="1" ht="15.75" customHeight="1" x14ac:dyDescent="0.2"/>
    <row r="816" s="57" customFormat="1" ht="15.75" customHeight="1" x14ac:dyDescent="0.2"/>
    <row r="817" s="57" customFormat="1" ht="15.75" customHeight="1" x14ac:dyDescent="0.2"/>
    <row r="818" s="57" customFormat="1" ht="15.75" customHeight="1" x14ac:dyDescent="0.2"/>
    <row r="819" s="57" customFormat="1" ht="15.75" customHeight="1" x14ac:dyDescent="0.2"/>
    <row r="820" s="57" customFormat="1" ht="15.75" customHeight="1" x14ac:dyDescent="0.2"/>
    <row r="821" s="57" customFormat="1" ht="15.75" customHeight="1" x14ac:dyDescent="0.2"/>
    <row r="822" s="57" customFormat="1" ht="15.75" customHeight="1" x14ac:dyDescent="0.2"/>
    <row r="823" s="57" customFormat="1" ht="15.75" customHeight="1" x14ac:dyDescent="0.2"/>
    <row r="824" s="57" customFormat="1" ht="15.75" customHeight="1" x14ac:dyDescent="0.2"/>
    <row r="825" s="57" customFormat="1" ht="15.75" customHeight="1" x14ac:dyDescent="0.2"/>
    <row r="826" s="57" customFormat="1" ht="15.75" customHeight="1" x14ac:dyDescent="0.2"/>
    <row r="827" s="57" customFormat="1" ht="15.75" customHeight="1" x14ac:dyDescent="0.2"/>
    <row r="828" s="57" customFormat="1" ht="15.75" customHeight="1" x14ac:dyDescent="0.2"/>
    <row r="829" s="57" customFormat="1" ht="15.75" customHeight="1" x14ac:dyDescent="0.2"/>
    <row r="830" s="57" customFormat="1" ht="15.75" customHeight="1" x14ac:dyDescent="0.2"/>
    <row r="831" s="57" customFormat="1" ht="15.75" customHeight="1" x14ac:dyDescent="0.2"/>
    <row r="832" s="57" customFormat="1" ht="15.75" customHeight="1" x14ac:dyDescent="0.2"/>
    <row r="833" s="57" customFormat="1" ht="15.75" customHeight="1" x14ac:dyDescent="0.2"/>
    <row r="834" s="57" customFormat="1" ht="15.75" customHeight="1" x14ac:dyDescent="0.2"/>
    <row r="835" s="57" customFormat="1" ht="15.75" customHeight="1" x14ac:dyDescent="0.2"/>
    <row r="836" s="57" customFormat="1" ht="15.75" customHeight="1" x14ac:dyDescent="0.2"/>
    <row r="837" s="57" customFormat="1" ht="15.75" customHeight="1" x14ac:dyDescent="0.2"/>
    <row r="838" s="57" customFormat="1" ht="15.75" customHeight="1" x14ac:dyDescent="0.2"/>
    <row r="839" s="57" customFormat="1" ht="15.75" customHeight="1" x14ac:dyDescent="0.2"/>
    <row r="840" s="57" customFormat="1" ht="15.75" customHeight="1" x14ac:dyDescent="0.2"/>
    <row r="841" s="57" customFormat="1" ht="15.75" customHeight="1" x14ac:dyDescent="0.2"/>
    <row r="842" s="57" customFormat="1" ht="15.75" customHeight="1" x14ac:dyDescent="0.2"/>
    <row r="843" s="57" customFormat="1" ht="15.75" customHeight="1" x14ac:dyDescent="0.2"/>
    <row r="844" s="57" customFormat="1" ht="15.75" customHeight="1" x14ac:dyDescent="0.2"/>
    <row r="845" s="57" customFormat="1" ht="15.75" customHeight="1" x14ac:dyDescent="0.2"/>
    <row r="846" s="57" customFormat="1" ht="15.75" customHeight="1" x14ac:dyDescent="0.2"/>
    <row r="847" s="57" customFormat="1" ht="15.75" customHeight="1" x14ac:dyDescent="0.2"/>
    <row r="848" s="57" customFormat="1" ht="15.75" customHeight="1" x14ac:dyDescent="0.2"/>
    <row r="849" s="57" customFormat="1" ht="15.75" customHeight="1" x14ac:dyDescent="0.2"/>
    <row r="850" s="57" customFormat="1" ht="15.75" customHeight="1" x14ac:dyDescent="0.2"/>
    <row r="851" s="57" customFormat="1" ht="15.75" customHeight="1" x14ac:dyDescent="0.2"/>
    <row r="852" s="57" customFormat="1" ht="15.75" customHeight="1" x14ac:dyDescent="0.2"/>
    <row r="853" s="57" customFormat="1" ht="15.75" customHeight="1" x14ac:dyDescent="0.2"/>
    <row r="854" s="57" customFormat="1" ht="15.75" customHeight="1" x14ac:dyDescent="0.2"/>
    <row r="855" s="57" customFormat="1" ht="15.75" customHeight="1" x14ac:dyDescent="0.2"/>
    <row r="856" s="57" customFormat="1" ht="15.75" customHeight="1" x14ac:dyDescent="0.2"/>
    <row r="857" s="57" customFormat="1" ht="15.75" customHeight="1" x14ac:dyDescent="0.2"/>
    <row r="858" s="57" customFormat="1" ht="15.75" customHeight="1" x14ac:dyDescent="0.2"/>
    <row r="859" s="57" customFormat="1" ht="15.75" customHeight="1" x14ac:dyDescent="0.2"/>
    <row r="860" s="57" customFormat="1" ht="15.75" customHeight="1" x14ac:dyDescent="0.2"/>
    <row r="861" s="57" customFormat="1" ht="15.75" customHeight="1" x14ac:dyDescent="0.2"/>
    <row r="862" s="57" customFormat="1" ht="15.75" customHeight="1" x14ac:dyDescent="0.2"/>
    <row r="863" s="57" customFormat="1" ht="15.75" customHeight="1" x14ac:dyDescent="0.2"/>
    <row r="864" s="57" customFormat="1" ht="15.75" customHeight="1" x14ac:dyDescent="0.2"/>
    <row r="865" s="57" customFormat="1" ht="15.75" customHeight="1" x14ac:dyDescent="0.2"/>
    <row r="866" s="57" customFormat="1" ht="15.75" customHeight="1" x14ac:dyDescent="0.2"/>
    <row r="867" s="57" customFormat="1" ht="15.75" customHeight="1" x14ac:dyDescent="0.2"/>
    <row r="868" s="57" customFormat="1" ht="15.75" customHeight="1" x14ac:dyDescent="0.2"/>
    <row r="869" s="57" customFormat="1" ht="15.75" customHeight="1" x14ac:dyDescent="0.2"/>
    <row r="870" s="57" customFormat="1" ht="15.75" customHeight="1" x14ac:dyDescent="0.2"/>
    <row r="871" s="57" customFormat="1" ht="15.75" customHeight="1" x14ac:dyDescent="0.2"/>
    <row r="872" s="57" customFormat="1" ht="15.75" customHeight="1" x14ac:dyDescent="0.2"/>
    <row r="873" s="57" customFormat="1" ht="15.75" customHeight="1" x14ac:dyDescent="0.2"/>
    <row r="874" s="57" customFormat="1" ht="15.75" customHeight="1" x14ac:dyDescent="0.2"/>
    <row r="875" s="57" customFormat="1" ht="15.75" customHeight="1" x14ac:dyDescent="0.2"/>
    <row r="876" s="57" customFormat="1" ht="15.75" customHeight="1" x14ac:dyDescent="0.2"/>
    <row r="877" s="57" customFormat="1" ht="15.75" customHeight="1" x14ac:dyDescent="0.2"/>
    <row r="878" s="57" customFormat="1" ht="15.75" customHeight="1" x14ac:dyDescent="0.2"/>
    <row r="879" s="57" customFormat="1" ht="15.75" customHeight="1" x14ac:dyDescent="0.2"/>
    <row r="880" s="57" customFormat="1" ht="15.75" customHeight="1" x14ac:dyDescent="0.2"/>
    <row r="881" s="57" customFormat="1" ht="15.75" customHeight="1" x14ac:dyDescent="0.2"/>
    <row r="882" s="57" customFormat="1" ht="15.75" customHeight="1" x14ac:dyDescent="0.2"/>
    <row r="883" s="57" customFormat="1" ht="15.75" customHeight="1" x14ac:dyDescent="0.2"/>
    <row r="884" s="57" customFormat="1" ht="15.75" customHeight="1" x14ac:dyDescent="0.2"/>
    <row r="885" s="57" customFormat="1" ht="15.75" customHeight="1" x14ac:dyDescent="0.2"/>
    <row r="886" s="57" customFormat="1" ht="15.75" customHeight="1" x14ac:dyDescent="0.2"/>
    <row r="887" s="57" customFormat="1" ht="15.75" customHeight="1" x14ac:dyDescent="0.2"/>
    <row r="888" s="57" customFormat="1" ht="15.75" customHeight="1" x14ac:dyDescent="0.2"/>
    <row r="889" s="57" customFormat="1" ht="15.75" customHeight="1" x14ac:dyDescent="0.2"/>
    <row r="890" s="57" customFormat="1" ht="15.75" customHeight="1" x14ac:dyDescent="0.2"/>
    <row r="891" s="57" customFormat="1" ht="15.75" customHeight="1" x14ac:dyDescent="0.2"/>
    <row r="892" s="57" customFormat="1" ht="15.75" customHeight="1" x14ac:dyDescent="0.2"/>
    <row r="893" s="57" customFormat="1" ht="15.75" customHeight="1" x14ac:dyDescent="0.2"/>
    <row r="894" s="57" customFormat="1" ht="15.75" customHeight="1" x14ac:dyDescent="0.2"/>
    <row r="895" s="57" customFormat="1" ht="15.75" customHeight="1" x14ac:dyDescent="0.2"/>
    <row r="896" s="57" customFormat="1" ht="15.75" customHeight="1" x14ac:dyDescent="0.2"/>
    <row r="897" s="57" customFormat="1" ht="15.75" customHeight="1" x14ac:dyDescent="0.2"/>
    <row r="898" s="57" customFormat="1" ht="15.75" customHeight="1" x14ac:dyDescent="0.2"/>
    <row r="899" s="57" customFormat="1" ht="15.75" customHeight="1" x14ac:dyDescent="0.2"/>
    <row r="900" s="57" customFormat="1" ht="15.75" customHeight="1" x14ac:dyDescent="0.2"/>
    <row r="901" s="57" customFormat="1" ht="15.75" customHeight="1" x14ac:dyDescent="0.2"/>
    <row r="902" s="57" customFormat="1" ht="15.75" customHeight="1" x14ac:dyDescent="0.2"/>
    <row r="903" s="57" customFormat="1" ht="15.75" customHeight="1" x14ac:dyDescent="0.2"/>
    <row r="904" s="57" customFormat="1" ht="15.75" customHeight="1" x14ac:dyDescent="0.2"/>
    <row r="905" s="57" customFormat="1" ht="15.75" customHeight="1" x14ac:dyDescent="0.2"/>
    <row r="906" s="57" customFormat="1" ht="15.75" customHeight="1" x14ac:dyDescent="0.2"/>
    <row r="907" s="57" customFormat="1" ht="15.75" customHeight="1" x14ac:dyDescent="0.2"/>
    <row r="908" s="57" customFormat="1" ht="15.75" customHeight="1" x14ac:dyDescent="0.2"/>
    <row r="909" s="57" customFormat="1" ht="15.75" customHeight="1" x14ac:dyDescent="0.2"/>
    <row r="910" s="57" customFormat="1" ht="15.75" customHeight="1" x14ac:dyDescent="0.2"/>
    <row r="911" s="57" customFormat="1" ht="15.75" customHeight="1" x14ac:dyDescent="0.2"/>
    <row r="912" s="57" customFormat="1" ht="15.75" customHeight="1" x14ac:dyDescent="0.2"/>
    <row r="913" s="57" customFormat="1" ht="15.75" customHeight="1" x14ac:dyDescent="0.2"/>
    <row r="914" s="57" customFormat="1" ht="15.75" customHeight="1" x14ac:dyDescent="0.2"/>
    <row r="915" s="57" customFormat="1" ht="15.75" customHeight="1" x14ac:dyDescent="0.2"/>
    <row r="916" s="57" customFormat="1" ht="15.75" customHeight="1" x14ac:dyDescent="0.2"/>
    <row r="917" s="57" customFormat="1" ht="15.75" customHeight="1" x14ac:dyDescent="0.2"/>
    <row r="918" s="57" customFormat="1" ht="15.75" customHeight="1" x14ac:dyDescent="0.2"/>
    <row r="919" s="57" customFormat="1" ht="15.75" customHeight="1" x14ac:dyDescent="0.2"/>
    <row r="920" s="57" customFormat="1" ht="15.75" customHeight="1" x14ac:dyDescent="0.2"/>
    <row r="921" s="57" customFormat="1" ht="15.75" customHeight="1" x14ac:dyDescent="0.2"/>
    <row r="922" s="57" customFormat="1" ht="15.75" customHeight="1" x14ac:dyDescent="0.2"/>
    <row r="923" s="57" customFormat="1" ht="15.75" customHeight="1" x14ac:dyDescent="0.2"/>
    <row r="924" s="57" customFormat="1" ht="15.75" customHeight="1" x14ac:dyDescent="0.2"/>
    <row r="925" s="57" customFormat="1" ht="15.75" customHeight="1" x14ac:dyDescent="0.2"/>
    <row r="926" s="57" customFormat="1" ht="15.75" customHeight="1" x14ac:dyDescent="0.2"/>
    <row r="927" s="57" customFormat="1" ht="15.75" customHeight="1" x14ac:dyDescent="0.2"/>
    <row r="928" s="57" customFormat="1" ht="15.75" customHeight="1" x14ac:dyDescent="0.2"/>
    <row r="929" s="57" customFormat="1" ht="15.75" customHeight="1" x14ac:dyDescent="0.2"/>
    <row r="930" s="57" customFormat="1" ht="15.75" customHeight="1" x14ac:dyDescent="0.2"/>
    <row r="931" s="57" customFormat="1" ht="15.75" customHeight="1" x14ac:dyDescent="0.2"/>
    <row r="932" s="57" customFormat="1" ht="15.75" customHeight="1" x14ac:dyDescent="0.2"/>
    <row r="933" s="57" customFormat="1" ht="15.75" customHeight="1" x14ac:dyDescent="0.2"/>
    <row r="934" s="57" customFormat="1" ht="15.75" customHeight="1" x14ac:dyDescent="0.2"/>
    <row r="935" s="57" customFormat="1" ht="15.75" customHeight="1" x14ac:dyDescent="0.2"/>
    <row r="936" s="57" customFormat="1" ht="15.75" customHeight="1" x14ac:dyDescent="0.2"/>
    <row r="937" s="57" customFormat="1" ht="15.75" customHeight="1" x14ac:dyDescent="0.2"/>
    <row r="938" s="57" customFormat="1" ht="15.75" customHeight="1" x14ac:dyDescent="0.2"/>
    <row r="939" s="57" customFormat="1" ht="15.75" customHeight="1" x14ac:dyDescent="0.2"/>
    <row r="940" s="57" customFormat="1" ht="15.75" customHeight="1" x14ac:dyDescent="0.2"/>
    <row r="941" s="57" customFormat="1" ht="15.75" customHeight="1" x14ac:dyDescent="0.2"/>
    <row r="942" s="57" customFormat="1" ht="15.75" customHeight="1" x14ac:dyDescent="0.2"/>
    <row r="943" s="57" customFormat="1" ht="15.75" customHeight="1" x14ac:dyDescent="0.2"/>
    <row r="944" s="57" customFormat="1" ht="15.75" customHeight="1" x14ac:dyDescent="0.2"/>
    <row r="945" s="57" customFormat="1" ht="15.75" customHeight="1" x14ac:dyDescent="0.2"/>
    <row r="946" s="57" customFormat="1" ht="15.75" customHeight="1" x14ac:dyDescent="0.2"/>
    <row r="947" s="57" customFormat="1" ht="15.75" customHeight="1" x14ac:dyDescent="0.2"/>
    <row r="948" s="57" customFormat="1" ht="15.75" customHeight="1" x14ac:dyDescent="0.2"/>
    <row r="949" s="57" customFormat="1" ht="15.75" customHeight="1" x14ac:dyDescent="0.2"/>
    <row r="950" s="57" customFormat="1" ht="15.75" customHeight="1" x14ac:dyDescent="0.2"/>
    <row r="951" s="57" customFormat="1" ht="15.75" customHeight="1" x14ac:dyDescent="0.2"/>
    <row r="952" s="57" customFormat="1" ht="15.75" customHeight="1" x14ac:dyDescent="0.2"/>
    <row r="953" s="57" customFormat="1" ht="15.75" customHeight="1" x14ac:dyDescent="0.2"/>
    <row r="954" s="57" customFormat="1" ht="15.75" customHeight="1" x14ac:dyDescent="0.2"/>
    <row r="955" s="57" customFormat="1" ht="15.75" customHeight="1" x14ac:dyDescent="0.2"/>
    <row r="956" s="57" customFormat="1" ht="15.75" customHeight="1" x14ac:dyDescent="0.2"/>
    <row r="957" s="57" customFormat="1" ht="15.75" customHeight="1" x14ac:dyDescent="0.2"/>
    <row r="958" s="57" customFormat="1" ht="15.75" customHeight="1" x14ac:dyDescent="0.2"/>
    <row r="959" s="57" customFormat="1" ht="15.75" customHeight="1" x14ac:dyDescent="0.2"/>
    <row r="960" s="57" customFormat="1" ht="15.75" customHeight="1" x14ac:dyDescent="0.2"/>
    <row r="961" s="57" customFormat="1" ht="15.75" customHeight="1" x14ac:dyDescent="0.2"/>
    <row r="962" s="57" customFormat="1" ht="15.75" customHeight="1" x14ac:dyDescent="0.2"/>
    <row r="963" s="57" customFormat="1" ht="15.75" customHeight="1" x14ac:dyDescent="0.2"/>
    <row r="964" s="57" customFormat="1" ht="15.75" customHeight="1" x14ac:dyDescent="0.2"/>
    <row r="965" s="57" customFormat="1" ht="15.75" customHeight="1" x14ac:dyDescent="0.2"/>
    <row r="966" s="57" customFormat="1" ht="15.75" customHeight="1" x14ac:dyDescent="0.2"/>
    <row r="967" s="57" customFormat="1" ht="15.75" customHeight="1" x14ac:dyDescent="0.2"/>
    <row r="968" s="57" customFormat="1" ht="15.75" customHeight="1" x14ac:dyDescent="0.2"/>
    <row r="969" s="57" customFormat="1" ht="15.75" customHeight="1" x14ac:dyDescent="0.2"/>
    <row r="970" s="57" customFormat="1" ht="15.75" customHeight="1" x14ac:dyDescent="0.2"/>
    <row r="971" s="57" customFormat="1" ht="15.75" customHeight="1" x14ac:dyDescent="0.2"/>
    <row r="972" s="57" customFormat="1" ht="15.75" customHeight="1" x14ac:dyDescent="0.2"/>
    <row r="973" s="57" customFormat="1" ht="15.75" customHeight="1" x14ac:dyDescent="0.2"/>
    <row r="974" s="57" customFormat="1" ht="15.75" customHeight="1" x14ac:dyDescent="0.2"/>
    <row r="975" s="57" customFormat="1" ht="15.75" customHeight="1" x14ac:dyDescent="0.2"/>
    <row r="976" s="57" customFormat="1" ht="15.75" customHeight="1" x14ac:dyDescent="0.2"/>
    <row r="977" s="57" customFormat="1" ht="15.75" customHeight="1" x14ac:dyDescent="0.2"/>
    <row r="978" s="57" customFormat="1" ht="15.75" customHeight="1" x14ac:dyDescent="0.2"/>
    <row r="979" s="57" customFormat="1" ht="15.75" customHeight="1" x14ac:dyDescent="0.2"/>
    <row r="980" s="57" customFormat="1" ht="15.75" customHeight="1" x14ac:dyDescent="0.2"/>
    <row r="981" s="57" customFormat="1" ht="15.75" customHeight="1" x14ac:dyDescent="0.2"/>
    <row r="982" s="57" customFormat="1" ht="15.75" customHeight="1" x14ac:dyDescent="0.2"/>
    <row r="983" s="57" customFormat="1" ht="15.75" customHeight="1" x14ac:dyDescent="0.2"/>
    <row r="984" s="57" customFormat="1" ht="15.75" customHeight="1" x14ac:dyDescent="0.2"/>
    <row r="985" s="57" customFormat="1" ht="15.75" customHeight="1" x14ac:dyDescent="0.2"/>
    <row r="986" s="57" customFormat="1" ht="15.75" customHeight="1" x14ac:dyDescent="0.2"/>
    <row r="987" s="57" customFormat="1" ht="15.75" customHeight="1" x14ac:dyDescent="0.2"/>
    <row r="988" s="57" customFormat="1" ht="15.75" customHeight="1" x14ac:dyDescent="0.2"/>
    <row r="989" s="57" customFormat="1" ht="15.75" customHeight="1" x14ac:dyDescent="0.2"/>
    <row r="990" s="57" customFormat="1" ht="15.75" customHeight="1" x14ac:dyDescent="0.2"/>
    <row r="991" s="57" customFormat="1" ht="15.75" customHeight="1" x14ac:dyDescent="0.2"/>
    <row r="992" s="57" customFormat="1" ht="15.75" customHeight="1" x14ac:dyDescent="0.2"/>
    <row r="993" s="57" customFormat="1" ht="15.75" customHeight="1" x14ac:dyDescent="0.2"/>
    <row r="994" s="57" customFormat="1" ht="15.75" customHeight="1" x14ac:dyDescent="0.2"/>
    <row r="995" s="57" customFormat="1" ht="15.75" customHeight="1" x14ac:dyDescent="0.2"/>
    <row r="996" s="57" customFormat="1" ht="15.75" customHeight="1" x14ac:dyDescent="0.2"/>
    <row r="997" s="57" customFormat="1" ht="15.75" customHeight="1" x14ac:dyDescent="0.2"/>
    <row r="998" s="57" customFormat="1" ht="15.75" customHeight="1" x14ac:dyDescent="0.2"/>
    <row r="999" s="57" customFormat="1" ht="15.75" customHeight="1" x14ac:dyDescent="0.2"/>
  </sheetData>
  <sortState xmlns:xlrd2="http://schemas.microsoft.com/office/spreadsheetml/2017/richdata2" ref="B33:B34">
    <sortCondition descending="1" ref="B33:B34"/>
  </sortState>
  <mergeCells count="3">
    <mergeCell ref="G18:H18"/>
    <mergeCell ref="G29:H29"/>
    <mergeCell ref="G36:H36"/>
  </mergeCells>
  <conditionalFormatting sqref="B2:H13">
    <cfRule type="cellIs" dxfId="25" priority="12" operator="equal">
      <formula>0</formula>
    </cfRule>
  </conditionalFormatting>
  <conditionalFormatting sqref="A15:A35">
    <cfRule type="cellIs" dxfId="24" priority="4" operator="equal">
      <formula>0</formula>
    </cfRule>
  </conditionalFormatting>
  <conditionalFormatting sqref="A14:E14 C15:E48 C49:C53">
    <cfRule type="cellIs" dxfId="23" priority="3" operator="equal">
      <formula>0</formula>
    </cfRule>
  </conditionalFormatting>
  <conditionalFormatting sqref="B15:B52">
    <cfRule type="cellIs" dxfId="22" priority="2" operator="equal">
      <formula>0</formula>
    </cfRule>
  </conditionalFormatting>
  <conditionalFormatting sqref="A36:A50">
    <cfRule type="cellIs" dxfId="21" priority="1" operator="equal">
      <formula>0</formula>
    </cfRule>
  </conditionalFormatting>
  <pageMargins left="0.3" right="0" top="0.5" bottom="0" header="0" footer="0"/>
  <pageSetup scale="99" orientation="portrait" verticalDpi="4294967294" r:id="rId1"/>
  <headerFooter>
    <oddHeader>&amp;C&amp;"Arial Black,Regular"&amp;20WEDNESDAY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3833E-3867-4B06-A654-AEC4468EC39C}">
  <sheetPr>
    <pageSetUpPr fitToPage="1"/>
  </sheetPr>
  <dimension ref="A1:E36"/>
  <sheetViews>
    <sheetView workbookViewId="0">
      <selection activeCell="C15" sqref="C15:C16"/>
    </sheetView>
  </sheetViews>
  <sheetFormatPr defaultRowHeight="15" x14ac:dyDescent="0.25"/>
  <cols>
    <col min="1" max="1" width="10.7109375" style="43" customWidth="1"/>
    <col min="2" max="3" width="32.7109375" customWidth="1"/>
    <col min="4" max="4" width="10.7109375" style="43" customWidth="1"/>
    <col min="5" max="5" width="32.7109375" customWidth="1"/>
  </cols>
  <sheetData>
    <row r="1" spans="1:5" ht="24.95" customHeight="1" thickBot="1" x14ac:dyDescent="0.3">
      <c r="A1" s="89" t="s">
        <v>69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5" t="s">
        <v>71</v>
      </c>
      <c r="E2" s="96"/>
    </row>
    <row r="3" spans="1:5" ht="24.95" customHeight="1" thickBot="1" x14ac:dyDescent="0.3">
      <c r="A3" s="42" t="s">
        <v>80</v>
      </c>
      <c r="B3" s="38"/>
      <c r="C3" s="38"/>
      <c r="D3" s="87" t="s">
        <v>80</v>
      </c>
      <c r="E3" s="39"/>
    </row>
    <row r="4" spans="1:5" ht="24.95" customHeight="1" thickBot="1" x14ac:dyDescent="0.3">
      <c r="A4" s="42" t="s">
        <v>97</v>
      </c>
      <c r="B4" s="39"/>
      <c r="C4" s="38"/>
      <c r="D4" s="88"/>
      <c r="E4" s="38"/>
    </row>
    <row r="5" spans="1:5" ht="24.95" customHeight="1" thickBot="1" x14ac:dyDescent="0.3">
      <c r="A5" s="42" t="s">
        <v>81</v>
      </c>
      <c r="B5" s="39"/>
      <c r="C5" s="38"/>
      <c r="D5" s="87" t="s">
        <v>81</v>
      </c>
      <c r="E5" s="39"/>
    </row>
    <row r="6" spans="1:5" ht="24.95" customHeight="1" thickBot="1" x14ac:dyDescent="0.3">
      <c r="A6" s="42" t="s">
        <v>98</v>
      </c>
      <c r="B6" s="40"/>
      <c r="C6" s="38"/>
      <c r="D6" s="88"/>
      <c r="E6" s="38"/>
    </row>
    <row r="7" spans="1:5" ht="24.95" customHeight="1" thickBot="1" x14ac:dyDescent="0.3">
      <c r="A7" s="42" t="s">
        <v>82</v>
      </c>
      <c r="B7" s="39"/>
      <c r="C7" s="38"/>
      <c r="D7" s="87" t="s">
        <v>82</v>
      </c>
      <c r="E7" s="39"/>
    </row>
    <row r="8" spans="1:5" ht="24.95" customHeight="1" thickBot="1" x14ac:dyDescent="0.3">
      <c r="A8" s="42" t="s">
        <v>99</v>
      </c>
      <c r="B8" s="40"/>
      <c r="C8" s="38"/>
      <c r="D8" s="88"/>
      <c r="E8" s="38"/>
    </row>
    <row r="9" spans="1:5" ht="24.95" customHeight="1" thickBot="1" x14ac:dyDescent="0.3">
      <c r="A9" s="42" t="s">
        <v>83</v>
      </c>
      <c r="B9" s="39"/>
      <c r="C9" s="38"/>
      <c r="D9" s="87" t="s">
        <v>83</v>
      </c>
      <c r="E9" s="39"/>
    </row>
    <row r="10" spans="1:5" ht="24.95" customHeight="1" thickBot="1" x14ac:dyDescent="0.3">
      <c r="A10" s="42" t="s">
        <v>100</v>
      </c>
      <c r="B10" s="40"/>
      <c r="C10" s="38"/>
      <c r="D10" s="88"/>
      <c r="E10" s="38"/>
    </row>
    <row r="11" spans="1:5" ht="24.95" customHeight="1" thickBot="1" x14ac:dyDescent="0.3">
      <c r="A11" s="42" t="s">
        <v>84</v>
      </c>
      <c r="B11" s="39"/>
      <c r="C11" s="38"/>
      <c r="D11" s="87" t="s">
        <v>84</v>
      </c>
      <c r="E11" s="40"/>
    </row>
    <row r="12" spans="1:5" ht="24.95" customHeight="1" thickBot="1" x14ac:dyDescent="0.3">
      <c r="A12" s="42" t="s">
        <v>101</v>
      </c>
      <c r="B12" s="39"/>
      <c r="C12" s="38"/>
      <c r="D12" s="88"/>
      <c r="E12" s="38"/>
    </row>
    <row r="13" spans="1:5" ht="24.95" customHeight="1" thickBot="1" x14ac:dyDescent="0.3">
      <c r="A13" s="42" t="s">
        <v>85</v>
      </c>
      <c r="B13" s="39"/>
      <c r="C13" s="38"/>
      <c r="D13" s="87" t="s">
        <v>85</v>
      </c>
      <c r="E13" s="39"/>
    </row>
    <row r="14" spans="1:5" ht="24.95" customHeight="1" thickBot="1" x14ac:dyDescent="0.3">
      <c r="A14" s="42" t="s">
        <v>102</v>
      </c>
      <c r="B14" s="39"/>
      <c r="C14" s="38"/>
      <c r="D14" s="88"/>
      <c r="E14" s="38"/>
    </row>
    <row r="15" spans="1:5" ht="24.95" customHeight="1" thickBot="1" x14ac:dyDescent="0.3">
      <c r="A15" s="42" t="s">
        <v>86</v>
      </c>
      <c r="B15" s="39"/>
      <c r="C15" s="70"/>
      <c r="D15" s="87" t="s">
        <v>86</v>
      </c>
      <c r="E15" s="38"/>
    </row>
    <row r="16" spans="1:5" ht="24.95" customHeight="1" thickBot="1" x14ac:dyDescent="0.3">
      <c r="A16" s="42" t="s">
        <v>103</v>
      </c>
      <c r="B16" s="39"/>
      <c r="C16" s="70"/>
      <c r="D16" s="88"/>
      <c r="E16" s="38"/>
    </row>
    <row r="17" spans="1:5" ht="24.95" customHeight="1" thickBot="1" x14ac:dyDescent="0.3">
      <c r="A17" s="42" t="s">
        <v>87</v>
      </c>
      <c r="B17" s="39"/>
      <c r="C17" s="38"/>
      <c r="D17" s="87" t="s">
        <v>87</v>
      </c>
      <c r="E17" s="39"/>
    </row>
    <row r="18" spans="1:5" ht="24.95" customHeight="1" thickBot="1" x14ac:dyDescent="0.3">
      <c r="A18" s="42" t="s">
        <v>104</v>
      </c>
      <c r="B18" s="39"/>
      <c r="C18" s="38"/>
      <c r="D18" s="88"/>
      <c r="E18" s="38"/>
    </row>
    <row r="19" spans="1:5" ht="24.95" customHeight="1" thickBot="1" x14ac:dyDescent="0.3">
      <c r="A19" s="42" t="s">
        <v>88</v>
      </c>
      <c r="B19" s="38"/>
      <c r="C19" s="38"/>
      <c r="D19" s="87" t="s">
        <v>88</v>
      </c>
      <c r="E19" s="39"/>
    </row>
    <row r="20" spans="1:5" ht="24.95" customHeight="1" thickBot="1" x14ac:dyDescent="0.3">
      <c r="A20" s="42" t="s">
        <v>105</v>
      </c>
      <c r="B20" s="70"/>
      <c r="C20" s="38"/>
      <c r="D20" s="88"/>
      <c r="E20" s="38"/>
    </row>
    <row r="21" spans="1:5" ht="24.95" customHeight="1" thickBot="1" x14ac:dyDescent="0.3">
      <c r="A21" s="42" t="s">
        <v>89</v>
      </c>
      <c r="B21" s="39"/>
      <c r="C21" s="38"/>
      <c r="D21" s="87" t="s">
        <v>89</v>
      </c>
      <c r="E21" s="41"/>
    </row>
    <row r="22" spans="1:5" ht="24.95" customHeight="1" thickBot="1" x14ac:dyDescent="0.3">
      <c r="A22" s="42" t="s">
        <v>106</v>
      </c>
      <c r="B22" s="39"/>
      <c r="C22" s="38"/>
      <c r="D22" s="88"/>
      <c r="E22" s="38"/>
    </row>
    <row r="23" spans="1:5" ht="24.95" customHeight="1" thickBot="1" x14ac:dyDescent="0.3">
      <c r="A23" s="42" t="s">
        <v>90</v>
      </c>
      <c r="B23" s="39"/>
      <c r="C23" s="39"/>
      <c r="D23" s="87" t="s">
        <v>90</v>
      </c>
      <c r="E23" s="39"/>
    </row>
    <row r="24" spans="1:5" ht="24.95" customHeight="1" thickBot="1" x14ac:dyDescent="0.3">
      <c r="A24" s="42" t="s">
        <v>107</v>
      </c>
      <c r="B24" s="40"/>
      <c r="C24" s="38"/>
      <c r="D24" s="88"/>
      <c r="E24" s="39"/>
    </row>
    <row r="25" spans="1:5" ht="24.95" customHeight="1" thickBot="1" x14ac:dyDescent="0.3">
      <c r="A25" s="42" t="s">
        <v>91</v>
      </c>
      <c r="B25" s="39"/>
      <c r="C25" s="39"/>
      <c r="D25" s="87" t="s">
        <v>91</v>
      </c>
      <c r="E25" s="39"/>
    </row>
    <row r="26" spans="1:5" ht="24.95" customHeight="1" thickBot="1" x14ac:dyDescent="0.3">
      <c r="A26" s="42" t="s">
        <v>108</v>
      </c>
      <c r="B26" s="40"/>
      <c r="C26" s="38"/>
      <c r="D26" s="88"/>
      <c r="E26" s="39"/>
    </row>
    <row r="27" spans="1:5" ht="24.95" customHeight="1" thickBot="1" x14ac:dyDescent="0.3">
      <c r="A27" s="42" t="s">
        <v>92</v>
      </c>
      <c r="B27" s="39"/>
      <c r="C27" s="39"/>
      <c r="D27" s="87" t="s">
        <v>92</v>
      </c>
      <c r="E27" s="39"/>
    </row>
    <row r="28" spans="1:5" ht="24.95" customHeight="1" thickBot="1" x14ac:dyDescent="0.3">
      <c r="A28" s="42" t="s">
        <v>109</v>
      </c>
      <c r="B28" s="39"/>
      <c r="C28" s="38"/>
      <c r="D28" s="88"/>
      <c r="E28" s="39"/>
    </row>
    <row r="29" spans="1:5" ht="24.95" customHeight="1" thickBot="1" x14ac:dyDescent="0.3">
      <c r="A29" s="42" t="s">
        <v>93</v>
      </c>
      <c r="B29" s="39"/>
      <c r="C29" s="38"/>
      <c r="D29" s="87" t="s">
        <v>93</v>
      </c>
      <c r="E29" s="39"/>
    </row>
    <row r="30" spans="1:5" ht="24.95" customHeight="1" thickBot="1" x14ac:dyDescent="0.3">
      <c r="A30" s="42" t="s">
        <v>110</v>
      </c>
      <c r="B30" s="40"/>
      <c r="C30" s="38"/>
      <c r="D30" s="88"/>
      <c r="E30" s="39"/>
    </row>
    <row r="31" spans="1:5" ht="24.95" customHeight="1" thickBot="1" x14ac:dyDescent="0.3">
      <c r="A31" s="42" t="s">
        <v>94</v>
      </c>
      <c r="B31" s="39"/>
      <c r="C31" s="38"/>
      <c r="D31" s="87" t="s">
        <v>94</v>
      </c>
      <c r="E31" s="39"/>
    </row>
    <row r="32" spans="1:5" ht="24.95" customHeight="1" thickBot="1" x14ac:dyDescent="0.3">
      <c r="A32" s="42" t="s">
        <v>111</v>
      </c>
      <c r="B32" s="40"/>
      <c r="C32" s="39"/>
      <c r="D32" s="88"/>
      <c r="E32" s="39"/>
    </row>
    <row r="33" spans="1:5" ht="24.95" customHeight="1" thickBot="1" x14ac:dyDescent="0.3">
      <c r="A33" s="42" t="s">
        <v>95</v>
      </c>
      <c r="B33" s="39"/>
      <c r="C33" s="38"/>
      <c r="D33" s="87" t="s">
        <v>95</v>
      </c>
      <c r="E33" s="40"/>
    </row>
    <row r="34" spans="1:5" ht="24.95" customHeight="1" thickBot="1" x14ac:dyDescent="0.3">
      <c r="A34" s="42" t="s">
        <v>112</v>
      </c>
      <c r="B34" s="39"/>
      <c r="C34" s="38"/>
      <c r="D34" s="88"/>
      <c r="E34" s="38"/>
    </row>
    <row r="35" spans="1:5" ht="24.95" customHeight="1" thickBot="1" x14ac:dyDescent="0.3">
      <c r="A35" s="42" t="s">
        <v>96</v>
      </c>
      <c r="B35" s="39"/>
      <c r="C35" s="38"/>
      <c r="D35" s="87" t="s">
        <v>96</v>
      </c>
      <c r="E35" s="39"/>
    </row>
    <row r="36" spans="1:5" ht="24.95" customHeight="1" thickBot="1" x14ac:dyDescent="0.3">
      <c r="A36" s="42" t="s">
        <v>113</v>
      </c>
      <c r="B36" s="39"/>
      <c r="C36" s="38"/>
      <c r="D36" s="88"/>
      <c r="E36" s="38"/>
    </row>
  </sheetData>
  <mergeCells count="20">
    <mergeCell ref="D19:D20"/>
    <mergeCell ref="A1:E1"/>
    <mergeCell ref="A2:C2"/>
    <mergeCell ref="D2:E2"/>
    <mergeCell ref="D3:D4"/>
    <mergeCell ref="D5:D6"/>
    <mergeCell ref="D7:D8"/>
    <mergeCell ref="D9:D10"/>
    <mergeCell ref="D11:D12"/>
    <mergeCell ref="D13:D14"/>
    <mergeCell ref="D15:D16"/>
    <mergeCell ref="D17:D18"/>
    <mergeCell ref="D33:D34"/>
    <mergeCell ref="D35:D36"/>
    <mergeCell ref="D21:D22"/>
    <mergeCell ref="D23:D24"/>
    <mergeCell ref="D25:D26"/>
    <mergeCell ref="D27:D28"/>
    <mergeCell ref="D29:D30"/>
    <mergeCell ref="D31:D32"/>
  </mergeCells>
  <printOptions gridLines="1"/>
  <pageMargins left="0.7" right="0.7" top="0.75" bottom="0.75" header="0.3" footer="0.3"/>
  <pageSetup scale="75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4425B-EECA-4628-A416-B6F0D015F42B}">
  <sheetPr>
    <pageSetUpPr fitToPage="1"/>
  </sheetPr>
  <dimension ref="A1:E36"/>
  <sheetViews>
    <sheetView workbookViewId="0">
      <selection activeCell="C15" sqref="C15:C16"/>
    </sheetView>
  </sheetViews>
  <sheetFormatPr defaultRowHeight="15" x14ac:dyDescent="0.25"/>
  <cols>
    <col min="1" max="1" width="10.7109375" style="45" customWidth="1"/>
    <col min="2" max="3" width="32.7109375" customWidth="1"/>
    <col min="4" max="4" width="10.7109375" style="45" customWidth="1"/>
    <col min="5" max="5" width="32.7109375" customWidth="1"/>
  </cols>
  <sheetData>
    <row r="1" spans="1:5" ht="24.95" customHeight="1" thickBot="1" x14ac:dyDescent="0.3">
      <c r="A1" s="89" t="s">
        <v>72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2" t="s">
        <v>71</v>
      </c>
      <c r="E2" s="94"/>
    </row>
    <row r="3" spans="1:5" ht="24.95" customHeight="1" thickBot="1" x14ac:dyDescent="0.3">
      <c r="A3" s="44">
        <v>1130</v>
      </c>
      <c r="B3" s="38"/>
      <c r="C3" s="38"/>
      <c r="D3" s="46">
        <v>1130</v>
      </c>
      <c r="E3" s="39"/>
    </row>
    <row r="4" spans="1:5" ht="24.95" customHeight="1" thickBot="1" x14ac:dyDescent="0.3">
      <c r="A4" s="44">
        <v>1145</v>
      </c>
      <c r="B4" s="39"/>
      <c r="C4" s="39"/>
      <c r="D4" s="46"/>
      <c r="E4" s="39"/>
    </row>
    <row r="5" spans="1:5" ht="24.95" customHeight="1" thickBot="1" x14ac:dyDescent="0.3">
      <c r="A5" s="44">
        <v>1200</v>
      </c>
      <c r="B5" s="39"/>
      <c r="C5" s="38"/>
      <c r="D5" s="46">
        <v>1200</v>
      </c>
      <c r="E5" s="39"/>
    </row>
    <row r="6" spans="1:5" ht="24.95" customHeight="1" thickBot="1" x14ac:dyDescent="0.3">
      <c r="A6" s="44">
        <v>1215</v>
      </c>
      <c r="B6" s="39"/>
      <c r="C6" s="39"/>
      <c r="D6" s="46"/>
      <c r="E6" s="39"/>
    </row>
    <row r="7" spans="1:5" ht="24.95" customHeight="1" thickBot="1" x14ac:dyDescent="0.3">
      <c r="A7" s="44">
        <v>1230</v>
      </c>
      <c r="B7" s="39"/>
      <c r="C7" s="38"/>
      <c r="D7" s="46">
        <v>1230</v>
      </c>
      <c r="E7" s="39"/>
    </row>
    <row r="8" spans="1:5" ht="24.95" customHeight="1" thickBot="1" x14ac:dyDescent="0.3">
      <c r="A8" s="44">
        <v>1245</v>
      </c>
      <c r="B8" s="39"/>
      <c r="C8" s="39"/>
      <c r="D8" s="46"/>
      <c r="E8" s="39"/>
    </row>
    <row r="9" spans="1:5" ht="24.95" customHeight="1" thickBot="1" x14ac:dyDescent="0.3">
      <c r="A9" s="44">
        <v>1300</v>
      </c>
      <c r="B9" s="39"/>
      <c r="C9" s="38"/>
      <c r="D9" s="46">
        <v>1300</v>
      </c>
      <c r="E9" s="39"/>
    </row>
    <row r="10" spans="1:5" ht="24.95" customHeight="1" thickBot="1" x14ac:dyDescent="0.3">
      <c r="A10" s="44">
        <v>1315</v>
      </c>
      <c r="B10" s="39"/>
      <c r="C10" s="38"/>
      <c r="D10" s="46"/>
      <c r="E10" s="39"/>
    </row>
    <row r="11" spans="1:5" ht="24.95" customHeight="1" thickBot="1" x14ac:dyDescent="0.3">
      <c r="A11" s="44">
        <v>1330</v>
      </c>
      <c r="B11" s="39"/>
      <c r="C11" s="38"/>
      <c r="D11" s="46">
        <v>1330</v>
      </c>
      <c r="E11" s="39"/>
    </row>
    <row r="12" spans="1:5" ht="24.95" customHeight="1" thickBot="1" x14ac:dyDescent="0.3">
      <c r="A12" s="44">
        <v>1345</v>
      </c>
      <c r="B12" s="39"/>
      <c r="C12" s="38"/>
      <c r="D12" s="46"/>
      <c r="E12" s="40"/>
    </row>
    <row r="13" spans="1:5" ht="24.95" customHeight="1" thickBot="1" x14ac:dyDescent="0.3">
      <c r="A13" s="44">
        <v>1400</v>
      </c>
      <c r="B13" s="39"/>
      <c r="C13" s="39"/>
      <c r="D13" s="46">
        <v>1400</v>
      </c>
      <c r="E13" s="39"/>
    </row>
    <row r="14" spans="1:5" ht="24.95" customHeight="1" thickBot="1" x14ac:dyDescent="0.3">
      <c r="A14" s="44">
        <v>1415</v>
      </c>
      <c r="B14" s="39"/>
      <c r="C14" s="40"/>
      <c r="D14" s="47"/>
      <c r="E14" s="38"/>
    </row>
    <row r="15" spans="1:5" ht="24.95" customHeight="1" thickBot="1" x14ac:dyDescent="0.3">
      <c r="A15" s="44">
        <v>1430</v>
      </c>
      <c r="B15" s="39"/>
      <c r="C15" s="38"/>
      <c r="D15" s="46">
        <v>1430</v>
      </c>
      <c r="E15" s="39"/>
    </row>
    <row r="16" spans="1:5" ht="24.95" customHeight="1" thickBot="1" x14ac:dyDescent="0.3">
      <c r="A16" s="44">
        <v>1445</v>
      </c>
      <c r="B16" s="39"/>
      <c r="C16" s="40"/>
      <c r="D16" s="47"/>
      <c r="E16" s="38"/>
    </row>
    <row r="17" spans="1:5" ht="24.95" customHeight="1" thickBot="1" x14ac:dyDescent="0.3">
      <c r="A17" s="44">
        <v>1500</v>
      </c>
      <c r="B17" s="39"/>
      <c r="C17" s="38"/>
      <c r="D17" s="46">
        <v>1500</v>
      </c>
      <c r="E17" s="39"/>
    </row>
    <row r="18" spans="1:5" ht="24.95" customHeight="1" thickBot="1" x14ac:dyDescent="0.3">
      <c r="A18" s="44">
        <v>1515</v>
      </c>
      <c r="B18" s="39"/>
      <c r="C18" s="40"/>
      <c r="D18" s="47"/>
      <c r="E18" s="38"/>
    </row>
    <row r="19" spans="1:5" ht="24.95" customHeight="1" thickBot="1" x14ac:dyDescent="0.3">
      <c r="A19" s="44">
        <v>1530</v>
      </c>
      <c r="B19" s="39"/>
      <c r="C19" s="38"/>
      <c r="D19" s="46">
        <v>1530</v>
      </c>
      <c r="E19" s="39"/>
    </row>
    <row r="20" spans="1:5" ht="24.95" customHeight="1" thickBot="1" x14ac:dyDescent="0.3">
      <c r="A20" s="44">
        <v>1545</v>
      </c>
      <c r="B20" s="39"/>
      <c r="C20" s="40"/>
      <c r="D20" s="47"/>
      <c r="E20" s="38"/>
    </row>
    <row r="21" spans="1:5" ht="24.95" customHeight="1" thickBot="1" x14ac:dyDescent="0.3">
      <c r="A21" s="44">
        <v>1600</v>
      </c>
      <c r="B21" s="39"/>
      <c r="C21" s="38"/>
      <c r="D21" s="46">
        <v>1600</v>
      </c>
      <c r="E21" s="39"/>
    </row>
    <row r="22" spans="1:5" ht="24.95" customHeight="1" thickBot="1" x14ac:dyDescent="0.3">
      <c r="A22" s="44">
        <v>1615</v>
      </c>
      <c r="B22" s="39"/>
      <c r="C22" s="40"/>
      <c r="D22" s="47"/>
      <c r="E22" s="38"/>
    </row>
    <row r="23" spans="1:5" ht="24.95" customHeight="1" thickBot="1" x14ac:dyDescent="0.3">
      <c r="A23" s="44">
        <v>1630</v>
      </c>
      <c r="B23" s="39"/>
      <c r="C23" s="38"/>
      <c r="D23" s="46">
        <v>1630</v>
      </c>
      <c r="E23" s="39"/>
    </row>
    <row r="24" spans="1:5" ht="24.95" customHeight="1" thickBot="1" x14ac:dyDescent="0.3">
      <c r="A24" s="44">
        <v>1645</v>
      </c>
      <c r="B24" s="39"/>
      <c r="C24" s="40"/>
      <c r="D24" s="47"/>
      <c r="E24" s="38"/>
    </row>
    <row r="25" spans="1:5" ht="24.95" customHeight="1" thickBot="1" x14ac:dyDescent="0.3">
      <c r="A25" s="44">
        <v>1700</v>
      </c>
      <c r="B25" s="39"/>
      <c r="C25" s="38"/>
      <c r="D25" s="46">
        <v>1700</v>
      </c>
      <c r="E25" s="39"/>
    </row>
    <row r="26" spans="1:5" ht="24.95" customHeight="1" thickBot="1" x14ac:dyDescent="0.3">
      <c r="A26" s="44">
        <v>1715</v>
      </c>
      <c r="B26" s="39"/>
      <c r="C26" s="38"/>
      <c r="D26" s="47"/>
      <c r="E26" s="38"/>
    </row>
    <row r="27" spans="1:5" ht="24.95" customHeight="1" thickBot="1" x14ac:dyDescent="0.3">
      <c r="A27" s="44">
        <v>1730</v>
      </c>
      <c r="B27" s="39"/>
      <c r="C27" s="38"/>
      <c r="D27" s="46">
        <v>1730</v>
      </c>
      <c r="E27" s="39"/>
    </row>
    <row r="28" spans="1:5" ht="24.95" customHeight="1" thickBot="1" x14ac:dyDescent="0.3">
      <c r="A28" s="44">
        <v>1745</v>
      </c>
      <c r="B28" s="39"/>
      <c r="C28" s="40"/>
      <c r="D28" s="46"/>
      <c r="E28" s="39"/>
    </row>
    <row r="29" spans="1:5" ht="24.95" customHeight="1" thickBot="1" x14ac:dyDescent="0.3">
      <c r="A29" s="44">
        <v>1800</v>
      </c>
      <c r="B29" s="39"/>
      <c r="C29" s="38"/>
      <c r="D29" s="46">
        <v>1800</v>
      </c>
      <c r="E29" s="39"/>
    </row>
    <row r="30" spans="1:5" ht="24.95" customHeight="1" thickBot="1" x14ac:dyDescent="0.3">
      <c r="A30" s="44">
        <v>1815</v>
      </c>
      <c r="B30" s="39"/>
      <c r="C30" s="39"/>
      <c r="D30" s="46"/>
      <c r="E30" s="39"/>
    </row>
    <row r="31" spans="1:5" ht="24.95" customHeight="1" thickBot="1" x14ac:dyDescent="0.3">
      <c r="A31" s="44">
        <v>1830</v>
      </c>
      <c r="B31" s="39"/>
      <c r="C31" s="39"/>
      <c r="D31" s="46">
        <v>1830</v>
      </c>
      <c r="E31" s="39"/>
    </row>
    <row r="32" spans="1:5" ht="24.95" customHeight="1" thickBot="1" x14ac:dyDescent="0.3">
      <c r="A32" s="44">
        <v>1845</v>
      </c>
      <c r="B32" s="39"/>
      <c r="C32" s="40"/>
      <c r="D32" s="46"/>
      <c r="E32" s="39"/>
    </row>
    <row r="33" spans="1:5" ht="24.95" customHeight="1" thickBot="1" x14ac:dyDescent="0.3">
      <c r="A33" s="44">
        <v>1900</v>
      </c>
      <c r="B33" s="39"/>
      <c r="C33" s="38"/>
      <c r="D33" s="46">
        <v>1900</v>
      </c>
      <c r="E33" s="39"/>
    </row>
    <row r="34" spans="1:5" ht="24.95" customHeight="1" thickBot="1" x14ac:dyDescent="0.3">
      <c r="A34" s="44">
        <v>1915</v>
      </c>
      <c r="B34" s="39"/>
      <c r="C34" s="39"/>
      <c r="D34" s="46"/>
      <c r="E34" s="39"/>
    </row>
    <row r="35" spans="1:5" ht="24.95" customHeight="1" thickBot="1" x14ac:dyDescent="0.3">
      <c r="A35" s="44">
        <v>1930</v>
      </c>
      <c r="B35" s="39"/>
      <c r="C35" s="38"/>
      <c r="D35" s="46">
        <v>1930</v>
      </c>
      <c r="E35" s="39"/>
    </row>
    <row r="36" spans="1:5" ht="24.95" customHeight="1" thickBot="1" x14ac:dyDescent="0.3">
      <c r="A36" s="44">
        <v>1945</v>
      </c>
      <c r="B36" s="39"/>
      <c r="C36" s="40"/>
      <c r="D36" s="46"/>
      <c r="E36" s="39"/>
    </row>
  </sheetData>
  <mergeCells count="3">
    <mergeCell ref="A1:E1"/>
    <mergeCell ref="A2:C2"/>
    <mergeCell ref="D2:E2"/>
  </mergeCells>
  <pageMargins left="0.7" right="0.7" top="0.75" bottom="0.75" header="0.3" footer="0.3"/>
  <pageSetup scale="75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AFFD2-B1AD-4EC6-8F5E-95DE7954B411}">
  <sheetPr>
    <pageSetUpPr fitToPage="1"/>
  </sheetPr>
  <dimension ref="A1:E36"/>
  <sheetViews>
    <sheetView zoomScale="90" zoomScaleNormal="90" workbookViewId="0">
      <selection activeCell="C15" sqref="C15:C16"/>
    </sheetView>
  </sheetViews>
  <sheetFormatPr defaultRowHeight="15" x14ac:dyDescent="0.25"/>
  <cols>
    <col min="1" max="1" width="10.7109375" style="43" customWidth="1"/>
    <col min="2" max="3" width="32.7109375" customWidth="1"/>
    <col min="4" max="4" width="10.7109375" style="43" customWidth="1"/>
    <col min="5" max="5" width="32.7109375" customWidth="1"/>
  </cols>
  <sheetData>
    <row r="1" spans="1:5" ht="24.95" customHeight="1" thickBot="1" x14ac:dyDescent="0.3">
      <c r="A1" s="89" t="s">
        <v>73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2" t="s">
        <v>71</v>
      </c>
      <c r="E2" s="94"/>
    </row>
    <row r="3" spans="1:5" ht="24.95" customHeight="1" thickBot="1" x14ac:dyDescent="0.3">
      <c r="A3" s="42">
        <v>2000</v>
      </c>
      <c r="B3" s="39"/>
      <c r="C3" s="38"/>
      <c r="D3" s="48">
        <v>2000</v>
      </c>
      <c r="E3" s="39"/>
    </row>
    <row r="4" spans="1:5" ht="24.95" customHeight="1" thickBot="1" x14ac:dyDescent="0.3">
      <c r="A4" s="42">
        <v>2015</v>
      </c>
      <c r="B4" s="39"/>
      <c r="C4" s="40"/>
      <c r="D4" s="49"/>
      <c r="E4" s="38"/>
    </row>
    <row r="5" spans="1:5" ht="24.95" customHeight="1" thickBot="1" x14ac:dyDescent="0.3">
      <c r="A5" s="42">
        <v>2030</v>
      </c>
      <c r="B5" s="39"/>
      <c r="C5" s="38"/>
      <c r="D5" s="48">
        <v>2030</v>
      </c>
      <c r="E5" s="39"/>
    </row>
    <row r="6" spans="1:5" ht="24.95" customHeight="1" thickBot="1" x14ac:dyDescent="0.3">
      <c r="A6" s="42">
        <v>2045</v>
      </c>
      <c r="B6" s="40"/>
      <c r="C6" s="40"/>
      <c r="D6" s="49"/>
      <c r="E6" s="38"/>
    </row>
    <row r="7" spans="1:5" ht="24.95" customHeight="1" thickBot="1" x14ac:dyDescent="0.3">
      <c r="A7" s="42">
        <v>2100</v>
      </c>
      <c r="B7" s="38"/>
      <c r="C7" s="38"/>
      <c r="D7" s="48">
        <v>2100</v>
      </c>
      <c r="E7" s="39"/>
    </row>
    <row r="8" spans="1:5" ht="24.95" customHeight="1" thickBot="1" x14ac:dyDescent="0.3">
      <c r="A8" s="42">
        <v>2115</v>
      </c>
      <c r="B8" s="39"/>
      <c r="C8" s="38"/>
      <c r="D8" s="49"/>
      <c r="E8" s="38"/>
    </row>
    <row r="9" spans="1:5" ht="24.95" customHeight="1" thickBot="1" x14ac:dyDescent="0.3">
      <c r="A9" s="42">
        <v>2130</v>
      </c>
      <c r="B9" s="39"/>
      <c r="C9" s="39"/>
      <c r="D9" s="48">
        <v>2130</v>
      </c>
      <c r="E9" s="40"/>
    </row>
    <row r="10" spans="1:5" ht="24.95" customHeight="1" thickBot="1" x14ac:dyDescent="0.3">
      <c r="A10" s="42">
        <v>2145</v>
      </c>
      <c r="B10" s="39"/>
      <c r="C10" s="38"/>
      <c r="D10" s="48"/>
      <c r="E10" s="40"/>
    </row>
    <row r="11" spans="1:5" ht="24.95" customHeight="1" thickBot="1" x14ac:dyDescent="0.3">
      <c r="A11" s="42">
        <v>2200</v>
      </c>
      <c r="B11" s="39"/>
      <c r="C11" s="39"/>
      <c r="D11" s="48">
        <v>2200</v>
      </c>
      <c r="E11" s="40"/>
    </row>
    <row r="12" spans="1:5" ht="24.95" customHeight="1" thickBot="1" x14ac:dyDescent="0.3">
      <c r="A12" s="42">
        <v>2215</v>
      </c>
      <c r="B12" s="39"/>
      <c r="C12" s="38"/>
      <c r="D12" s="48"/>
      <c r="E12" s="40"/>
    </row>
    <row r="13" spans="1:5" ht="24.95" customHeight="1" thickBot="1" x14ac:dyDescent="0.3">
      <c r="A13" s="42">
        <v>2230</v>
      </c>
      <c r="B13" s="39"/>
      <c r="C13" s="39"/>
      <c r="D13" s="48">
        <v>2230</v>
      </c>
      <c r="E13" s="40"/>
    </row>
    <row r="14" spans="1:5" ht="24.95" customHeight="1" thickBot="1" x14ac:dyDescent="0.3">
      <c r="A14" s="42">
        <v>2245</v>
      </c>
      <c r="B14" s="39"/>
      <c r="C14" s="38"/>
      <c r="D14" s="48"/>
      <c r="E14" s="40"/>
    </row>
    <row r="15" spans="1:5" ht="24.95" customHeight="1" thickBot="1" x14ac:dyDescent="0.3">
      <c r="A15" s="42">
        <v>2300</v>
      </c>
      <c r="B15" s="39"/>
      <c r="C15" s="39"/>
      <c r="D15" s="48">
        <v>2300</v>
      </c>
      <c r="E15" s="40"/>
    </row>
    <row r="16" spans="1:5" ht="24.95" customHeight="1" thickBot="1" x14ac:dyDescent="0.3">
      <c r="A16" s="42">
        <v>2315</v>
      </c>
      <c r="B16" s="39"/>
      <c r="C16" s="38"/>
      <c r="D16" s="48"/>
      <c r="E16" s="40"/>
    </row>
    <row r="17" spans="1:5" ht="24.95" customHeight="1" thickBot="1" x14ac:dyDescent="0.3">
      <c r="A17" s="42">
        <v>2330</v>
      </c>
      <c r="B17" s="39"/>
      <c r="C17" s="39"/>
      <c r="D17" s="48">
        <v>2330</v>
      </c>
      <c r="E17" s="40"/>
    </row>
    <row r="18" spans="1:5" ht="24.95" customHeight="1" thickBot="1" x14ac:dyDescent="0.3">
      <c r="A18" s="42">
        <v>2345</v>
      </c>
      <c r="B18" s="39"/>
      <c r="C18" s="38"/>
      <c r="D18" s="48"/>
      <c r="E18" s="40"/>
    </row>
    <row r="19" spans="1:5" ht="24.95" customHeight="1" thickBot="1" x14ac:dyDescent="0.3">
      <c r="A19" s="42" t="s">
        <v>115</v>
      </c>
      <c r="B19" s="39"/>
      <c r="C19" s="39"/>
      <c r="D19" s="48" t="s">
        <v>115</v>
      </c>
      <c r="E19" s="40"/>
    </row>
    <row r="20" spans="1:5" ht="24.95" customHeight="1" thickBot="1" x14ac:dyDescent="0.3">
      <c r="A20" s="42" t="s">
        <v>121</v>
      </c>
      <c r="B20" s="39"/>
      <c r="C20" s="39"/>
      <c r="D20" s="49"/>
      <c r="E20" s="38"/>
    </row>
    <row r="21" spans="1:5" ht="24.95" customHeight="1" thickBot="1" x14ac:dyDescent="0.3">
      <c r="A21" s="42" t="s">
        <v>116</v>
      </c>
      <c r="B21" s="39"/>
      <c r="C21" s="38"/>
      <c r="D21" s="48" t="s">
        <v>116</v>
      </c>
      <c r="E21" s="40"/>
    </row>
    <row r="22" spans="1:5" ht="24.95" customHeight="1" thickBot="1" x14ac:dyDescent="0.3">
      <c r="A22" s="42" t="s">
        <v>122</v>
      </c>
      <c r="B22" s="39"/>
      <c r="C22" s="40"/>
      <c r="D22" s="49"/>
      <c r="E22" s="39"/>
    </row>
    <row r="23" spans="1:5" ht="24.95" customHeight="1" thickBot="1" x14ac:dyDescent="0.3">
      <c r="A23" s="42" t="s">
        <v>117</v>
      </c>
      <c r="B23" s="39"/>
      <c r="C23" s="38"/>
      <c r="D23" s="48" t="s">
        <v>117</v>
      </c>
      <c r="E23" s="40"/>
    </row>
    <row r="24" spans="1:5" ht="24.95" customHeight="1" thickBot="1" x14ac:dyDescent="0.3">
      <c r="A24" s="42" t="s">
        <v>123</v>
      </c>
      <c r="B24" s="39"/>
      <c r="C24" s="40"/>
      <c r="D24" s="71"/>
      <c r="E24" s="70"/>
    </row>
    <row r="25" spans="1:5" ht="24.95" customHeight="1" thickBot="1" x14ac:dyDescent="0.3">
      <c r="A25" s="42" t="s">
        <v>118</v>
      </c>
      <c r="B25" s="39"/>
      <c r="C25" s="39"/>
      <c r="D25" s="48" t="s">
        <v>118</v>
      </c>
      <c r="E25" s="70"/>
    </row>
    <row r="26" spans="1:5" ht="24.95" customHeight="1" thickBot="1" x14ac:dyDescent="0.3">
      <c r="A26" s="42" t="s">
        <v>124</v>
      </c>
      <c r="B26" s="39"/>
      <c r="C26" s="40"/>
      <c r="D26" s="71"/>
      <c r="E26" s="70"/>
    </row>
    <row r="27" spans="1:5" ht="24.95" customHeight="1" thickBot="1" x14ac:dyDescent="0.3">
      <c r="A27" s="42" t="s">
        <v>119</v>
      </c>
      <c r="B27" s="39"/>
      <c r="C27" s="38"/>
      <c r="D27" s="48" t="s">
        <v>119</v>
      </c>
      <c r="E27" s="70"/>
    </row>
    <row r="28" spans="1:5" ht="24.95" customHeight="1" thickBot="1" x14ac:dyDescent="0.3">
      <c r="A28" s="42" t="s">
        <v>125</v>
      </c>
      <c r="B28" s="39"/>
      <c r="C28" s="39"/>
      <c r="D28" s="71"/>
      <c r="E28" s="70"/>
    </row>
    <row r="29" spans="1:5" ht="24.95" customHeight="1" thickBot="1" x14ac:dyDescent="0.3">
      <c r="A29" s="42" t="s">
        <v>120</v>
      </c>
      <c r="B29" s="39"/>
      <c r="C29" s="38"/>
      <c r="D29" s="48" t="s">
        <v>120</v>
      </c>
      <c r="E29" s="39"/>
    </row>
    <row r="30" spans="1:5" ht="24.95" customHeight="1" thickBot="1" x14ac:dyDescent="0.3">
      <c r="A30" s="42" t="s">
        <v>126</v>
      </c>
      <c r="B30" s="39"/>
      <c r="C30" s="70"/>
      <c r="D30" s="71"/>
      <c r="E30" s="39"/>
    </row>
    <row r="31" spans="1:5" x14ac:dyDescent="0.25">
      <c r="A31" s="99" t="s">
        <v>74</v>
      </c>
      <c r="B31" s="99"/>
      <c r="C31" s="99"/>
      <c r="D31" s="99"/>
      <c r="E31" s="99"/>
    </row>
    <row r="32" spans="1:5" x14ac:dyDescent="0.25">
      <c r="A32" s="98" t="s">
        <v>75</v>
      </c>
      <c r="B32" s="98"/>
      <c r="C32" s="98"/>
      <c r="D32" s="98"/>
      <c r="E32" s="98"/>
    </row>
    <row r="33" spans="1:5" x14ac:dyDescent="0.25">
      <c r="A33" s="98" t="s">
        <v>76</v>
      </c>
      <c r="B33" s="98"/>
      <c r="C33" s="98"/>
      <c r="D33" s="98"/>
      <c r="E33" s="98"/>
    </row>
    <row r="34" spans="1:5" ht="30" customHeight="1" x14ac:dyDescent="0.25">
      <c r="A34" s="97" t="s">
        <v>77</v>
      </c>
      <c r="B34" s="97"/>
      <c r="C34" s="97"/>
      <c r="D34" s="97"/>
      <c r="E34" s="97"/>
    </row>
    <row r="35" spans="1:5" x14ac:dyDescent="0.25">
      <c r="A35" s="98" t="s">
        <v>78</v>
      </c>
      <c r="B35" s="98"/>
      <c r="C35" s="98"/>
      <c r="D35" s="98"/>
      <c r="E35" s="98"/>
    </row>
    <row r="36" spans="1:5" x14ac:dyDescent="0.25">
      <c r="A36" s="98" t="s">
        <v>79</v>
      </c>
      <c r="B36" s="98"/>
      <c r="C36" s="98"/>
      <c r="D36" s="98"/>
      <c r="E36" s="98"/>
    </row>
  </sheetData>
  <mergeCells count="9">
    <mergeCell ref="A34:E34"/>
    <mergeCell ref="A35:E35"/>
    <mergeCell ref="A36:E36"/>
    <mergeCell ref="A1:E1"/>
    <mergeCell ref="A2:C2"/>
    <mergeCell ref="D2:E2"/>
    <mergeCell ref="A31:E31"/>
    <mergeCell ref="A32:E32"/>
    <mergeCell ref="A33:E33"/>
  </mergeCells>
  <pageMargins left="0.7" right="0.7" top="0.75" bottom="0.75" header="0.3" footer="0.3"/>
  <pageSetup scale="75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I999"/>
  <sheetViews>
    <sheetView view="pageLayout" zoomScaleNormal="100" workbookViewId="0"/>
  </sheetViews>
  <sheetFormatPr defaultColWidth="14.42578125" defaultRowHeight="15" customHeight="1" x14ac:dyDescent="0.2"/>
  <cols>
    <col min="1" max="8" width="12.85546875" style="57" customWidth="1"/>
    <col min="9" max="9" width="8.7109375" style="57" customWidth="1"/>
    <col min="10" max="16384" width="14.42578125" style="57"/>
  </cols>
  <sheetData>
    <row r="1" spans="1:9" x14ac:dyDescent="0.2">
      <c r="A1" s="1" t="s">
        <v>39</v>
      </c>
      <c r="B1" s="1" t="s">
        <v>63</v>
      </c>
      <c r="C1" s="1" t="s">
        <v>2</v>
      </c>
      <c r="D1" s="1" t="s">
        <v>3</v>
      </c>
      <c r="E1" s="1" t="s">
        <v>56</v>
      </c>
      <c r="F1" s="1" t="s">
        <v>4</v>
      </c>
      <c r="G1" s="11" t="s">
        <v>5</v>
      </c>
      <c r="H1" s="12" t="s">
        <v>6</v>
      </c>
    </row>
    <row r="2" spans="1:9" ht="14.25" x14ac:dyDescent="0.2">
      <c r="A2" s="10" t="s">
        <v>7</v>
      </c>
      <c r="B2" s="82" t="str">
        <f>IF('2026'!B48&lt;&gt;"", '2026'!B48, "")</f>
        <v/>
      </c>
      <c r="C2" s="82" t="str">
        <f>IF('2026'!C48&lt;&gt;"", '2026'!C48, "")</f>
        <v/>
      </c>
      <c r="D2" s="82" t="str">
        <f>IF('2026'!D48&lt;&gt;"", '2026'!D48, "")</f>
        <v/>
      </c>
      <c r="E2" s="82" t="str">
        <f>IF('2026'!E48&lt;&gt;"", '2026'!E48, "")</f>
        <v/>
      </c>
      <c r="F2" s="82" t="str">
        <f>IF('2026'!F48&lt;&gt;"", '2026'!F48, "")</f>
        <v/>
      </c>
      <c r="G2" s="83" t="str">
        <f>IF('2026'!G48&lt;&gt;"", '2026'!G48, "")</f>
        <v/>
      </c>
      <c r="H2" s="82" t="str">
        <f>IF('2026'!H48&lt;&gt;"", '2026'!H48, "")</f>
        <v/>
      </c>
    </row>
    <row r="3" spans="1:9" ht="14.25" x14ac:dyDescent="0.2">
      <c r="A3" s="10" t="s">
        <v>8</v>
      </c>
      <c r="B3" s="82" t="str">
        <f>IF('2026'!B49&lt;&gt;"", '2026'!B49, "")</f>
        <v/>
      </c>
      <c r="C3" s="82" t="str">
        <f>IF('2026'!C49&lt;&gt;"", '2026'!C49, "")</f>
        <v/>
      </c>
      <c r="D3" s="82" t="str">
        <f>IF('2026'!D49&lt;&gt;"", '2026'!D49, "")</f>
        <v/>
      </c>
      <c r="E3" s="82" t="str">
        <f>IF('2026'!E49&lt;&gt;"", '2026'!E49, "")</f>
        <v/>
      </c>
      <c r="F3" s="82" t="str">
        <f>IF('2026'!F49&lt;&gt;"", '2026'!F49, "")</f>
        <v/>
      </c>
      <c r="G3" s="83" t="str">
        <f>IF('2026'!G49&lt;&gt;"", '2026'!G49, "")</f>
        <v/>
      </c>
      <c r="H3" s="82" t="str">
        <f>IF('2026'!H49&lt;&gt;"", '2026'!H49, "")</f>
        <v/>
      </c>
    </row>
    <row r="4" spans="1:9" ht="14.25" x14ac:dyDescent="0.2">
      <c r="A4" s="10" t="s">
        <v>9</v>
      </c>
      <c r="B4" s="82" t="str">
        <f>IF('2026'!B50&lt;&gt;"", '2026'!B50, "")</f>
        <v/>
      </c>
      <c r="C4" s="82" t="str">
        <f>IF('2026'!C50&lt;&gt;"", '2026'!C50, "")</f>
        <v/>
      </c>
      <c r="D4" s="82" t="str">
        <f>IF('2026'!D50&lt;&gt;"", '2026'!D50, "")</f>
        <v/>
      </c>
      <c r="E4" s="82" t="str">
        <f>IF('2026'!E50&lt;&gt;"", '2026'!E50, "")</f>
        <v/>
      </c>
      <c r="F4" s="82" t="str">
        <f>IF('2026'!F50&lt;&gt;"", '2026'!F50, "")</f>
        <v/>
      </c>
      <c r="G4" s="82" t="str">
        <f>IF('2026'!G50&lt;&gt;"", '2026'!G50, "")</f>
        <v>BMOR</v>
      </c>
      <c r="H4" s="82" t="str">
        <f>IF('2026'!H50&lt;&gt;"", '2026'!H50, "")</f>
        <v>HROB</v>
      </c>
    </row>
    <row r="5" spans="1:9" ht="14.25" x14ac:dyDescent="0.2">
      <c r="A5" s="10" t="s">
        <v>10</v>
      </c>
      <c r="B5" s="82" t="str">
        <f>IF('2026'!B51&lt;&gt;"", '2026'!B51, "")</f>
        <v/>
      </c>
      <c r="C5" s="82" t="str">
        <f>IF('2026'!C51&lt;&gt;"", '2026'!C51, "")</f>
        <v/>
      </c>
      <c r="D5" s="82" t="str">
        <f>IF('2026'!D51&lt;&gt;"", '2026'!D51, "")</f>
        <v/>
      </c>
      <c r="E5" s="82" t="str">
        <f>IF('2026'!E51&lt;&gt;"", '2026'!E51, "")</f>
        <v/>
      </c>
      <c r="F5" s="82" t="str">
        <f>IF('2026'!F51&lt;&gt;"", '2026'!F51, "")</f>
        <v>BMOR</v>
      </c>
      <c r="G5" s="82" t="str">
        <f>IF('2026'!G51&lt;&gt;"", '2026'!G51, "")</f>
        <v/>
      </c>
      <c r="H5" s="82" t="str">
        <f>IF('2026'!H51&lt;&gt;"", '2026'!H51, "")</f>
        <v/>
      </c>
    </row>
    <row r="6" spans="1:9" ht="14.25" x14ac:dyDescent="0.2">
      <c r="A6" s="10" t="s">
        <v>11</v>
      </c>
      <c r="B6" s="82" t="str">
        <f>IF('2026'!B52&lt;&gt;"", '2026'!B52, "")</f>
        <v/>
      </c>
      <c r="C6" s="82" t="str">
        <f>IF('2026'!C52&lt;&gt;"", '2026'!C52, "")</f>
        <v/>
      </c>
      <c r="D6" s="82" t="str">
        <f>IF('2026'!D52&lt;&gt;"", '2026'!D52, "")</f>
        <v/>
      </c>
      <c r="E6" s="82" t="str">
        <f>IF('2026'!E52&lt;&gt;"", '2026'!E52, "")</f>
        <v>HROB</v>
      </c>
      <c r="F6" s="82" t="str">
        <f>IF('2026'!F52&lt;&gt;"", '2026'!F52, "")</f>
        <v/>
      </c>
      <c r="G6" s="82" t="str">
        <f>IF('2026'!G52&lt;&gt;"", '2026'!G52, "")</f>
        <v>HACK/RUEL</v>
      </c>
      <c r="H6" s="82" t="str">
        <f>IF('2026'!H52&lt;&gt;"", '2026'!H52, "")</f>
        <v/>
      </c>
    </row>
    <row r="7" spans="1:9" ht="14.25" x14ac:dyDescent="0.2">
      <c r="A7" s="10" t="s">
        <v>12</v>
      </c>
      <c r="B7" s="82" t="str">
        <f>IF('2026'!B53&lt;&gt;"", '2026'!B53, "")</f>
        <v/>
      </c>
      <c r="C7" s="82" t="str">
        <f>IF('2026'!C53&lt;&gt;"", '2026'!C53, "")</f>
        <v/>
      </c>
      <c r="D7" s="82" t="str">
        <f>IF('2026'!D53&lt;&gt;"", '2026'!D53, "")</f>
        <v/>
      </c>
      <c r="E7" s="82" t="str">
        <f>IF('2026'!E53&lt;&gt;"", '2026'!E53, "")</f>
        <v/>
      </c>
      <c r="F7" s="82" t="str">
        <f>IF('2026'!F53&lt;&gt;"", '2026'!F53, "")</f>
        <v/>
      </c>
      <c r="G7" s="82" t="str">
        <f>IF('2026'!G53&lt;&gt;"", '2026'!G53, "")</f>
        <v/>
      </c>
      <c r="H7" s="82" t="str">
        <f>IF('2026'!H53&lt;&gt;"", '2026'!H53, "")</f>
        <v/>
      </c>
    </row>
    <row r="8" spans="1:9" ht="14.25" x14ac:dyDescent="0.2">
      <c r="A8" s="10" t="s">
        <v>13</v>
      </c>
      <c r="B8" s="82" t="str">
        <f>IF('2026'!B54&lt;&gt;"", '2026'!B54, "")</f>
        <v/>
      </c>
      <c r="C8" s="82" t="str">
        <f>IF('2026'!C54&lt;&gt;"", '2026'!C54, "")</f>
        <v>AWIL</v>
      </c>
      <c r="D8" s="82" t="str">
        <f>IF('2026'!D54&lt;&gt;"", '2026'!D54, "")</f>
        <v/>
      </c>
      <c r="E8" s="82" t="str">
        <f>IF('2026'!E54&lt;&gt;"", '2026'!E54, "")</f>
        <v/>
      </c>
      <c r="F8" s="82" t="str">
        <f>IF('2026'!F54&lt;&gt;"", '2026'!F54, "")</f>
        <v/>
      </c>
      <c r="G8" s="82" t="str">
        <f>IF('2026'!G54&lt;&gt;"", '2026'!G54, "")</f>
        <v/>
      </c>
      <c r="H8" s="82" t="str">
        <f>IF('2026'!H54&lt;&gt;"", '2026'!H54, "")</f>
        <v/>
      </c>
    </row>
    <row r="9" spans="1:9" ht="14.25" x14ac:dyDescent="0.2">
      <c r="A9" s="10" t="s">
        <v>14</v>
      </c>
      <c r="B9" s="82" t="str">
        <f>IF('2026'!B55&lt;&gt;"", '2026'!B55, "")</f>
        <v/>
      </c>
      <c r="C9" s="82" t="str">
        <f>IF('2026'!C55&lt;&gt;"", '2026'!C55, "")</f>
        <v>AWIL</v>
      </c>
      <c r="D9" s="82" t="str">
        <f>IF('2026'!D55&lt;&gt;"", '2026'!D55, "")</f>
        <v/>
      </c>
      <c r="E9" s="82" t="str">
        <f>IF('2026'!E55&lt;&gt;"", '2026'!E55, "")</f>
        <v/>
      </c>
      <c r="F9" s="82" t="str">
        <f>IF('2026'!F55&lt;&gt;"", '2026'!F55, "")</f>
        <v/>
      </c>
      <c r="G9" s="82" t="str">
        <f>IF('2026'!G55&lt;&gt;"", '2026'!G55, "")</f>
        <v>VASQ</v>
      </c>
      <c r="H9" s="82" t="str">
        <f>IF('2026'!H55&lt;&gt;"", '2026'!H55, "")</f>
        <v/>
      </c>
    </row>
    <row r="10" spans="1:9" ht="14.25" x14ac:dyDescent="0.2">
      <c r="A10" s="10" t="s">
        <v>15</v>
      </c>
      <c r="B10" s="82" t="str">
        <f>IF('2026'!B56&lt;&gt;"", '2026'!B56, "")</f>
        <v/>
      </c>
      <c r="C10" s="82" t="str">
        <f>IF('2026'!C56&lt;&gt;"", '2026'!C56, "")</f>
        <v>VASQ/MERC</v>
      </c>
      <c r="D10" s="82" t="str">
        <f>IF('2026'!D56&lt;&gt;"", '2026'!D56, "")</f>
        <v/>
      </c>
      <c r="E10" s="82" t="str">
        <f>IF('2026'!E56&lt;&gt;"", '2026'!E56, "")</f>
        <v/>
      </c>
      <c r="F10" s="82" t="str">
        <f>IF('2026'!F56&lt;&gt;"", '2026'!F56, "")</f>
        <v/>
      </c>
      <c r="G10" s="82" t="str">
        <f>IF('2026'!G56&lt;&gt;"", '2026'!G56, "")</f>
        <v/>
      </c>
      <c r="H10" s="82" t="str">
        <f>IF('2026'!H56&lt;&gt;"", '2026'!H56, "")</f>
        <v>RUEL</v>
      </c>
    </row>
    <row r="11" spans="1:9" ht="14.25" x14ac:dyDescent="0.2">
      <c r="A11" s="10" t="s">
        <v>16</v>
      </c>
      <c r="B11" s="82" t="str">
        <f>IF('2026'!B57&lt;&gt;"", '2026'!B57, "")</f>
        <v>SCOT/OCHO</v>
      </c>
      <c r="C11" s="82" t="str">
        <f>IF('2026'!C57&lt;&gt;"", '2026'!C57, "")</f>
        <v>LILL</v>
      </c>
      <c r="D11" s="82" t="str">
        <f>IF('2026'!D57&lt;&gt;"", '2026'!D57, "")</f>
        <v/>
      </c>
      <c r="E11" s="82" t="str">
        <f>IF('2026'!E57&lt;&gt;"", '2026'!E57, "")</f>
        <v/>
      </c>
      <c r="F11" s="82" t="str">
        <f>IF('2026'!F57&lt;&gt;"", '2026'!F57, "")</f>
        <v/>
      </c>
      <c r="G11" s="82" t="str">
        <f>IF('2026'!G57&lt;&gt;"", '2026'!G57, "")</f>
        <v/>
      </c>
      <c r="H11" s="82" t="str">
        <f>IF('2026'!H57&lt;&gt;"", '2026'!H57, "")</f>
        <v/>
      </c>
    </row>
    <row r="12" spans="1:9" ht="14.25" x14ac:dyDescent="0.2">
      <c r="A12" s="10" t="s">
        <v>17</v>
      </c>
      <c r="B12" s="82" t="str">
        <f>IF('2026'!B58&lt;&gt;"", '2026'!B58, "")</f>
        <v>LILL</v>
      </c>
      <c r="C12" s="82" t="str">
        <f>IF('2026'!C58&lt;&gt;"", '2026'!C58, "")</f>
        <v/>
      </c>
      <c r="D12" s="82" t="str">
        <f>IF('2026'!D58&lt;&gt;"", '2026'!D58, "")</f>
        <v/>
      </c>
      <c r="E12" s="82" t="str">
        <f>IF('2026'!E58&lt;&gt;"", '2026'!E58, "")</f>
        <v>VASQ/MERC</v>
      </c>
      <c r="F12" s="82" t="str">
        <f>IF('2026'!F58&lt;&gt;"", '2026'!F58, "")</f>
        <v>SCOT/OCHO</v>
      </c>
      <c r="G12" s="82" t="str">
        <f>IF('2026'!G58&lt;&gt;"", '2026'!G58, "")</f>
        <v/>
      </c>
      <c r="H12" s="82" t="str">
        <f>IF('2026'!H58&lt;&gt;"", '2026'!H58, "")</f>
        <v/>
      </c>
    </row>
    <row r="13" spans="1:9" ht="14.25" x14ac:dyDescent="0.2">
      <c r="A13" s="10" t="s">
        <v>18</v>
      </c>
      <c r="B13" s="82" t="str">
        <f>IF('2026'!B59&lt;&gt;"", '2026'!B59, "")</f>
        <v/>
      </c>
      <c r="C13" s="82" t="str">
        <f>IF('2026'!C59&lt;&gt;"", '2026'!C59, "")</f>
        <v/>
      </c>
      <c r="D13" s="82" t="str">
        <f>IF('2026'!D59&lt;&gt;"", '2026'!D59, "")</f>
        <v/>
      </c>
      <c r="E13" s="82" t="str">
        <f>IF('2026'!E59&lt;&gt;"", '2026'!E59, "")</f>
        <v/>
      </c>
      <c r="F13" s="82" t="str">
        <f>IF('2026'!F59&lt;&gt;"", '2026'!F59, "")</f>
        <v>VASQ/MERC</v>
      </c>
      <c r="G13" s="82" t="str">
        <f>IF('2026'!G59&lt;&gt;"", '2026'!G59, "")</f>
        <v/>
      </c>
      <c r="H13" s="82" t="str">
        <f>IF('2026'!H59&lt;&gt;"", '2026'!H59, "")</f>
        <v>OCHO</v>
      </c>
    </row>
    <row r="14" spans="1:9" ht="13.5" customHeight="1" x14ac:dyDescent="0.2">
      <c r="A14" s="52" t="s">
        <v>20</v>
      </c>
      <c r="B14" s="52" t="s">
        <v>21</v>
      </c>
      <c r="C14" s="52" t="s">
        <v>22</v>
      </c>
      <c r="D14" s="53" t="s">
        <v>19</v>
      </c>
      <c r="E14" s="52" t="s">
        <v>24</v>
      </c>
      <c r="F14" s="61"/>
      <c r="G14" s="61"/>
      <c r="H14" s="61"/>
    </row>
    <row r="15" spans="1:9" ht="13.5" customHeight="1" x14ac:dyDescent="0.2">
      <c r="A15" s="55" t="str" cm="1">
        <f t="array" ref="A15">IFERROR(INDEX(A_SHIFT_ESDS,1),"")</f>
        <v>Lydia Valdez</v>
      </c>
      <c r="B15" s="54" t="str" cm="1">
        <f t="array" ref="B15">IFERROR(INDEX(B_SHIFT_ESDS,1),"")</f>
        <v>Tania Keller</v>
      </c>
      <c r="C15" s="54" t="str" cm="1">
        <f t="array" ref="C15">IFERROR(INDEX(C_SHIFT_ESDS,1),"")</f>
        <v>Allison Carter</v>
      </c>
      <c r="D15" s="54" t="str" cm="1">
        <f t="array" ref="D15">IFERROR(INDEX(E_SHIFT_ESDS,1),"")</f>
        <v>Jessica Leatherwood</v>
      </c>
      <c r="E15" s="54" t="str" cm="1">
        <f t="array" ref="E15">IFERROR(INDEX(F_SHIFT_ESDS,1),"")</f>
        <v>Susan Miller</v>
      </c>
      <c r="F15" s="61"/>
      <c r="G15" s="62"/>
      <c r="I15" s="63"/>
    </row>
    <row r="16" spans="1:9" ht="13.5" customHeight="1" x14ac:dyDescent="0.2">
      <c r="A16" s="55" t="str" cm="1">
        <f t="array" ref="A16">IFERROR(INDEX(A_SHIFT_ESDS,2),"")</f>
        <v>Cheri Smith</v>
      </c>
      <c r="B16" s="54" t="str" cm="1">
        <f t="array" ref="B16">IFERROR(INDEX(B_SHIFT_ESDS,2),"")</f>
        <v>Suzette Schlundt</v>
      </c>
      <c r="C16" s="54" t="str" cm="1">
        <f t="array" ref="C16">IFERROR(INDEX(C_SHIFT_ESDS,2),"")</f>
        <v>Ami Muro</v>
      </c>
      <c r="D16" s="54" t="str" cm="1">
        <f t="array" ref="D16">IFERROR(INDEX(E_SHIFT_ESDS,2),"")</f>
        <v>Sarah Ringer</v>
      </c>
      <c r="E16" s="54" t="str" cm="1">
        <f t="array" ref="E16">IFERROR(INDEX(F_SHIFT_ESDS,2),"")</f>
        <v xml:space="preserve">Tami Worden     </v>
      </c>
      <c r="G16" s="13"/>
    </row>
    <row r="17" spans="1:8" ht="13.5" customHeight="1" x14ac:dyDescent="0.2">
      <c r="A17" s="55" t="str" cm="1">
        <f t="array" ref="A17">IFERROR(INDEX(A_SHIFT_ESDS,3),"")</f>
        <v>Patty O’Grady</v>
      </c>
      <c r="B17" s="54" t="str" cm="1">
        <f t="array" ref="B17">IFERROR(INDEX(B_SHIFT_ESDS,3),"")</f>
        <v>Brenda Morgantini</v>
      </c>
      <c r="C17" s="54" t="str" cm="1">
        <f t="array" ref="C17">IFERROR(INDEX(C_SHIFT_ESDS,3),"")</f>
        <v>Mathew Hackney</v>
      </c>
      <c r="D17" s="54" t="str" cm="1">
        <f t="array" ref="D17">IFERROR(INDEX(E_SHIFT_ESDS,3),"")</f>
        <v>Nozomi Vasquez</v>
      </c>
      <c r="E17" s="54" t="str" cm="1">
        <f t="array" ref="E17">IFERROR(INDEX(F_SHIFT_ESDS,3),"")</f>
        <v>Nyia Vang</v>
      </c>
      <c r="G17" s="13"/>
    </row>
    <row r="18" spans="1:8" ht="13.5" customHeight="1" x14ac:dyDescent="0.2">
      <c r="A18" s="55" t="str" cm="1">
        <f t="array" ref="A18">IFERROR(INDEX(A_SHIFT_ESDS,4),"")</f>
        <v>Matt Sonderegger</v>
      </c>
      <c r="B18" s="54" t="str" cm="1">
        <f t="array" ref="B18">IFERROR(INDEX(B_SHIFT_ESDS,4),"")</f>
        <v>Zer Yang</v>
      </c>
      <c r="C18" s="54" t="str" cm="1">
        <f t="array" ref="C18">IFERROR(INDEX(C_SHIFT_ESDS,4),"")</f>
        <v>Sofia Ruelas</v>
      </c>
      <c r="D18" s="54" t="str" cm="1">
        <f t="array" ref="D18">IFERROR(INDEX(E_SHIFT_ESDS,4),"")</f>
        <v>Kelly Wiens</v>
      </c>
      <c r="E18" s="54" t="str" cm="1">
        <f t="array" ref="E18">IFERROR(INDEX(F_SHIFT_ESDS,4),"")</f>
        <v>Elexis Scott</v>
      </c>
      <c r="G18" s="86" t="s">
        <v>151</v>
      </c>
      <c r="H18" s="86"/>
    </row>
    <row r="19" spans="1:8" ht="13.5" customHeight="1" x14ac:dyDescent="0.2">
      <c r="A19" s="55" t="str" cm="1">
        <f t="array" ref="A19">IFERROR(INDEX(A_SHIFT_ESDS,5),"")</f>
        <v>Lorraine Flenory</v>
      </c>
      <c r="B19" s="54" t="str" cm="1">
        <f t="array" ref="B19">IFERROR(INDEX(B_SHIFT_ESDS,5),"")</f>
        <v>Rina Rosales</v>
      </c>
      <c r="C19" s="54" cm="1">
        <f t="array" ref="C19">IFERROR(INDEX(C_SHIFT_ESDS,5),"")</f>
        <v>0</v>
      </c>
      <c r="D19" s="54" t="str" cm="1">
        <f t="array" ref="D19">IFERROR(INDEX(E_SHIFT_ESDS,5),"")</f>
        <v>Melissa Joint</v>
      </c>
      <c r="E19" s="54" t="str" cm="1">
        <f t="array" ref="E19">IFERROR(INDEX(F_SHIFT_ESDS,5),"")</f>
        <v>Lauren Lilly</v>
      </c>
      <c r="F19" s="74">
        <v>730</v>
      </c>
      <c r="G19" s="56"/>
      <c r="H19" s="23"/>
    </row>
    <row r="20" spans="1:8" ht="13.5" customHeight="1" x14ac:dyDescent="0.2">
      <c r="A20" s="55" t="str" cm="1">
        <f t="array" ref="A20">IFERROR(INDEX(A_SHIFT_ESDS,6),"")</f>
        <v>Jodi Garland</v>
      </c>
      <c r="B20" s="54" t="str" cm="1">
        <f t="array" ref="B20">IFERROR(INDEX(B_SHIFT_ESDS,6),"")</f>
        <v>Norma Garvey</v>
      </c>
      <c r="C20" s="54" cm="1">
        <f t="array" ref="C20">IFERROR(INDEX(C_SHIFT_ESDS,6),"")</f>
        <v>0</v>
      </c>
      <c r="D20" s="54" t="str" cm="1">
        <f t="array" ref="D20">IFERROR(INDEX(E_SHIFT_ESDS,6),"")</f>
        <v>Bianca Hernandez</v>
      </c>
      <c r="E20" s="54" t="str" cm="1">
        <f t="array" ref="E20">IFERROR(INDEX(F_SHIFT_ESDS,6),"")</f>
        <v>Kimberly Lott</v>
      </c>
      <c r="F20" s="74">
        <v>930</v>
      </c>
      <c r="G20" s="56"/>
      <c r="H20" s="23"/>
    </row>
    <row r="21" spans="1:8" ht="13.5" customHeight="1" x14ac:dyDescent="0.2">
      <c r="A21" s="55" t="str" cm="1">
        <f t="array" ref="A21">IFERROR(INDEX(A_SHIFT_ESDS,7),"")</f>
        <v>Monica Ramirez</v>
      </c>
      <c r="B21" s="54" t="str" cm="1">
        <f t="array" ref="B21">IFERROR(INDEX(B_SHIFT_ESDS,7),"")</f>
        <v>Lori Brown</v>
      </c>
      <c r="C21" s="54" cm="1">
        <f t="array" ref="C21">IFERROR(INDEX(C_SHIFT_ESDS,7),"")</f>
        <v>0</v>
      </c>
      <c r="D21" s="54" t="str" cm="1">
        <f t="array" ref="D21">IFERROR(INDEX(E_SHIFT_ESDS,7),"")</f>
        <v>Paola Barrientos</v>
      </c>
      <c r="E21" s="54" t="str" cm="1">
        <f t="array" ref="E21">IFERROR(INDEX(F_SHIFT_ESDS,7),"")</f>
        <v>Mariah Rosales</v>
      </c>
      <c r="F21" s="56">
        <v>1130</v>
      </c>
      <c r="G21" s="56"/>
      <c r="H21" s="23"/>
    </row>
    <row r="22" spans="1:8" ht="13.5" customHeight="1" x14ac:dyDescent="0.2">
      <c r="A22" s="55" t="str" cm="1">
        <f t="array" ref="A22">IFERROR(INDEX(A_SHIFT_ESDS,8),"")</f>
        <v>Jamielyn Shwetzer</v>
      </c>
      <c r="B22" s="54" t="str" cm="1">
        <f t="array" ref="B22">IFERROR(INDEX(B_SHIFT_ESDS,8),"")</f>
        <v xml:space="preserve">Heidi Roberts </v>
      </c>
      <c r="C22" s="54" cm="1">
        <f t="array" ref="C22">IFERROR(INDEX(C_SHIFT_ESDS,8),"")</f>
        <v>0</v>
      </c>
      <c r="D22" s="54" t="str" cm="1">
        <f t="array" ref="D22">IFERROR(INDEX(E_SHIFT_ESDS,8),"")</f>
        <v>Jason Yang</v>
      </c>
      <c r="E22" s="54" t="str" cm="1">
        <f t="array" ref="E22">IFERROR(INDEX(F_SHIFT_ESDS,8),"")</f>
        <v>Raquel Salazar</v>
      </c>
      <c r="F22" s="56">
        <v>1330</v>
      </c>
      <c r="G22" s="56"/>
      <c r="H22" s="23"/>
    </row>
    <row r="23" spans="1:8" ht="13.5" customHeight="1" x14ac:dyDescent="0.2">
      <c r="A23" s="55" t="str" cm="1">
        <f t="array" ref="A23">IFERROR(INDEX(A_SHIFT_ESDS,9),"")</f>
        <v>Valeria Guzman</v>
      </c>
      <c r="B23" s="54" t="str" cm="1">
        <f t="array" ref="B23">IFERROR(INDEX(B_SHIFT_ESDS,9),"")</f>
        <v>Rebekah Isquierdo</v>
      </c>
      <c r="C23" s="54" cm="1">
        <f t="array" ref="C23">IFERROR(INDEX(C_SHIFT_ESDS,9),"")</f>
        <v>0</v>
      </c>
      <c r="D23" s="54" t="str" cm="1">
        <f t="array" ref="D23">IFERROR(INDEX(E_SHIFT_ESDS,9),"")</f>
        <v>Adrienne Rodriguez</v>
      </c>
      <c r="E23" s="54" t="str" cm="1">
        <f t="array" ref="E23">IFERROR(INDEX(F_SHIFT_ESDS,9),"")</f>
        <v>Jorge Alcorn</v>
      </c>
      <c r="F23" s="56">
        <v>1530</v>
      </c>
      <c r="G23" s="56"/>
      <c r="H23" s="23"/>
    </row>
    <row r="24" spans="1:8" ht="13.5" customHeight="1" x14ac:dyDescent="0.2">
      <c r="A24" s="55" t="str" cm="1">
        <f t="array" ref="A24">IFERROR(INDEX(A_SHIFT_ESDS,10),"")</f>
        <v>Mindy Mcclung</v>
      </c>
      <c r="B24" s="54" t="str" cm="1">
        <f t="array" ref="B24">IFERROR(INDEX(B_SHIFT_ESDS,10),"")</f>
        <v>Darlene Foell</v>
      </c>
      <c r="C24" s="54" cm="1">
        <f t="array" ref="C24">IFERROR(INDEX(C_SHIFT_ESDS,10),"")</f>
        <v>0</v>
      </c>
      <c r="D24" s="54" t="str" cm="1">
        <f t="array" ref="D24">IFERROR(INDEX(E_SHIFT_ESDS,10),"")</f>
        <v>Adriana Dedios</v>
      </c>
      <c r="E24" s="54" t="str" cm="1">
        <f t="array" ref="E24">IFERROR(INDEX(F_SHIFT_ESDS,10),"")</f>
        <v>Jasmine Gomez</v>
      </c>
      <c r="F24" s="56">
        <v>1730</v>
      </c>
      <c r="G24" s="56"/>
      <c r="H24" s="23"/>
    </row>
    <row r="25" spans="1:8" ht="13.5" customHeight="1" x14ac:dyDescent="0.2">
      <c r="A25" s="55" t="str" cm="1">
        <f t="array" ref="A25">IFERROR(INDEX(A_SHIFT_ESDS,11),"")</f>
        <v>Alexis Yandell</v>
      </c>
      <c r="B25" s="54" t="str" cm="1">
        <f t="array" ref="B25">IFERROR(INDEX(B_SHIFT_ESDS,11),"")</f>
        <v>Markey Blankenship</v>
      </c>
      <c r="C25" s="54" cm="1">
        <f t="array" ref="C25">IFERROR(INDEX(C_SHIFT_ESDS,11),"")</f>
        <v>0</v>
      </c>
      <c r="D25" s="54" t="str" cm="1">
        <f t="array" ref="D25">IFERROR(INDEX(E_SHIFT_ESDS,11),"")</f>
        <v>Dulcivet Garcia</v>
      </c>
      <c r="E25" s="54" t="str" cm="1">
        <f t="array" ref="E25">IFERROR(INDEX(F_SHIFT_ESDS,11),"")</f>
        <v>April Ponce</v>
      </c>
      <c r="F25" s="74">
        <v>1930</v>
      </c>
      <c r="G25" s="56"/>
      <c r="H25" s="23"/>
    </row>
    <row r="26" spans="1:8" ht="13.5" customHeight="1" x14ac:dyDescent="0.2">
      <c r="A26" s="55" t="str" cm="1">
        <f t="array" ref="A26">IFERROR(INDEX(A_SHIFT_ESDS,12),"")</f>
        <v>Marrie Sip</v>
      </c>
      <c r="B26" s="54" t="str" cm="1">
        <f t="array" ref="B26">IFERROR(INDEX(B_SHIFT_ESDS,12),"")</f>
        <v>Sonam Carter</v>
      </c>
      <c r="C26" s="54" cm="1">
        <f t="array" ref="C26">IFERROR(INDEX(C_SHIFT_ESDS,12),"")</f>
        <v>0</v>
      </c>
      <c r="D26" s="54" t="str" cm="1">
        <f t="array" ref="D26">IFERROR(INDEX(E_SHIFT_ESDS,12),"")</f>
        <v>Susie Amezcua</v>
      </c>
      <c r="E26" s="54" t="str" cm="1">
        <f t="array" ref="E26">IFERROR(INDEX(F_SHIFT_ESDS,12),"")</f>
        <v>Curt Barrow</v>
      </c>
      <c r="F26" s="74">
        <v>2130</v>
      </c>
      <c r="G26" s="56"/>
      <c r="H26" s="23"/>
    </row>
    <row r="27" spans="1:8" ht="13.5" customHeight="1" x14ac:dyDescent="0.2">
      <c r="A27" s="55" t="str" cm="1">
        <f t="array" ref="A27">IFERROR(INDEX(A_SHIFT_ESDS,13),"")</f>
        <v>Chelsea Meave</v>
      </c>
      <c r="B27" s="54" t="str" cm="1">
        <f t="array" ref="B27">IFERROR(INDEX(B_SHIFT_ESDS,13),"")</f>
        <v xml:space="preserve">Jessica Dukes </v>
      </c>
      <c r="C27" s="54" cm="1">
        <f t="array" ref="C27">IFERROR(INDEX(C_SHIFT_ESDS,13),"")</f>
        <v>0</v>
      </c>
      <c r="D27" s="54" t="str" cm="1">
        <f t="array" ref="D27">IFERROR(INDEX(E_SHIFT_ESDS,13),"")</f>
        <v>Nathanly Rodriguez</v>
      </c>
      <c r="E27" s="54" t="str" cm="1">
        <f t="array" ref="E27">IFERROR(INDEX(F_SHIFT_ESDS,13),"")</f>
        <v>Stephanie Rojas</v>
      </c>
      <c r="F27" s="74">
        <v>2330</v>
      </c>
      <c r="G27" s="56"/>
      <c r="H27" s="23"/>
    </row>
    <row r="28" spans="1:8" ht="13.5" customHeight="1" x14ac:dyDescent="0.2">
      <c r="A28" s="55" t="str" cm="1">
        <f t="array" ref="A28">IFERROR(INDEX(A_SHIFT_ESDS,14),"")</f>
        <v>Gwen Anzaldo</v>
      </c>
      <c r="B28" s="54" t="str" cm="1">
        <f t="array" ref="B28">IFERROR(INDEX(B_SHIFT_ESDS,14),"")</f>
        <v xml:space="preserve">Sarah Fraley </v>
      </c>
      <c r="C28" s="54" cm="1">
        <f t="array" ref="C28">IFERROR(INDEX(C_SHIFT_ESDS,14),"")</f>
        <v>0</v>
      </c>
      <c r="D28" s="54" t="str" cm="1">
        <f t="array" ref="D28">IFERROR(INDEX(E_SHIFT_ESDS,14),"")</f>
        <v>Akilah Mccullough</v>
      </c>
      <c r="E28" s="54" t="str" cm="1">
        <f t="array" ref="E28">IFERROR(INDEX(F_SHIFT_ESDS,14),"")</f>
        <v>Mark Teixeira</v>
      </c>
      <c r="F28" s="56">
        <v>130</v>
      </c>
      <c r="G28" s="56"/>
      <c r="H28" s="23"/>
    </row>
    <row r="29" spans="1:8" ht="13.5" customHeight="1" x14ac:dyDescent="0.2">
      <c r="A29" s="55" t="str" cm="1">
        <f t="array" ref="A29">IFERROR(INDEX(A_SHIFT_ESDS,15),"")</f>
        <v>Robert Noriega</v>
      </c>
      <c r="B29" s="54" t="str" cm="1">
        <f t="array" ref="B29">IFERROR(INDEX(B_SHIFT_ESDS,15),"")</f>
        <v>Josephine Botello</v>
      </c>
      <c r="C29" s="54" cm="1">
        <f t="array" ref="C29">IFERROR(INDEX(C_SHIFT_ESDS,15),"")</f>
        <v>0</v>
      </c>
      <c r="D29" s="54" t="str" cm="1">
        <f t="array" ref="D29">IFERROR(INDEX(E_SHIFT_ESDS,15),"")</f>
        <v>Allyson Trevino</v>
      </c>
      <c r="E29" s="54" t="str" cm="1">
        <f t="array" ref="E29">IFERROR(INDEX(F_SHIFT_ESDS,15),"")</f>
        <v>Edie Ochoa</v>
      </c>
      <c r="G29" s="100" t="s">
        <v>166</v>
      </c>
      <c r="H29" s="100"/>
    </row>
    <row r="30" spans="1:8" ht="13.5" customHeight="1" x14ac:dyDescent="0.2">
      <c r="A30" s="55" cm="1">
        <f t="array" ref="A30">IFERROR(INDEX(A_SHIFT_ESDS,16),"")</f>
        <v>0</v>
      </c>
      <c r="B30" s="54" t="str" cm="1">
        <f t="array" ref="B30">IFERROR(INDEX(B_SHIFT_ESDS,16),"")</f>
        <v>Maribel Escareno</v>
      </c>
      <c r="C30" s="54"/>
      <c r="D30" s="54" t="str" cm="1">
        <f t="array" ref="D30">IFERROR(INDEX(E_SHIFT_ESDS,16),"")</f>
        <v>Jessica Cardoza</v>
      </c>
      <c r="E30" s="54" cm="1">
        <f t="array" ref="E30">IFERROR(INDEX(F_SHIFT_ESDS,16),"")</f>
        <v>0</v>
      </c>
      <c r="G30" s="74">
        <v>1530</v>
      </c>
      <c r="H30" s="75" t="str">
        <f>IF('2026'!I54&lt;&gt;"", '2026'!I54, "")</f>
        <v/>
      </c>
    </row>
    <row r="31" spans="1:8" ht="13.5" customHeight="1" x14ac:dyDescent="0.2">
      <c r="A31" s="55" cm="1">
        <f t="array" ref="A31">IFERROR(INDEX(A_SHIFT_ESDS,17),"")</f>
        <v>0</v>
      </c>
      <c r="B31" s="54" t="str" cm="1">
        <f t="array" ref="B31">IFERROR(INDEX(B_SHIFT_ESDS,17),"")</f>
        <v>Kyler Lorin</v>
      </c>
      <c r="C31" s="54"/>
      <c r="D31" s="54" t="str" cm="1">
        <f t="array" ref="D31">IFERROR(INDEX(E_SHIFT_ESDS,17),"")</f>
        <v>Jesse Jimenez</v>
      </c>
      <c r="E31" s="54" cm="1">
        <f t="array" ref="E31">IFERROR(INDEX(F_SHIFT_ESDS,17),"")</f>
        <v>0</v>
      </c>
      <c r="F31" s="58"/>
      <c r="G31" s="74">
        <v>1730</v>
      </c>
      <c r="H31" s="75" t="str">
        <f>IF('2026'!I55&lt;&gt;"", '2026'!I55, "")</f>
        <v/>
      </c>
    </row>
    <row r="32" spans="1:8" ht="13.5" customHeight="1" x14ac:dyDescent="0.2">
      <c r="A32" s="55" cm="1">
        <f t="array" ref="A32">IFERROR(INDEX(A_SHIFT_ESDS,18),"")</f>
        <v>0</v>
      </c>
      <c r="B32" s="54" t="str" cm="1">
        <f t="array" ref="B32">IFERROR(INDEX(B_SHIFT_ESDS,18),"")</f>
        <v>Eric Uribe</v>
      </c>
      <c r="C32" s="54"/>
      <c r="D32" s="54" t="str" cm="1">
        <f t="array" ref="D32">IFERROR(INDEX(E_SHIFT_ESDS,18),"")</f>
        <v>Cicaly Cruz</v>
      </c>
      <c r="E32" s="54" cm="1">
        <f t="array" ref="E32">IFERROR(INDEX(F_SHIFT_ESDS,18),"")</f>
        <v>0</v>
      </c>
      <c r="G32" s="74">
        <v>1930</v>
      </c>
      <c r="H32" s="75" t="str">
        <f>IF('2026'!I56&lt;&gt;"", '2026'!I56, "")</f>
        <v/>
      </c>
    </row>
    <row r="33" spans="1:8" ht="13.5" customHeight="1" x14ac:dyDescent="0.2">
      <c r="A33" s="55" cm="1">
        <f t="array" ref="A33">IFERROR(INDEX(A_SHIFT_ESDS,19),"")</f>
        <v>0</v>
      </c>
      <c r="B33" s="54" t="str" cm="1">
        <f t="array" ref="B33">IFERROR(INDEX(B_SHIFT_ESDS,19),"")</f>
        <v>Melina Davila</v>
      </c>
      <c r="C33" s="54"/>
      <c r="D33" s="54" t="str" cm="1">
        <f t="array" ref="D33">IFERROR(INDEX(E_SHIFT_ESDS,19),"")</f>
        <v>Cassidy Voudry</v>
      </c>
      <c r="E33" s="54" cm="1">
        <f t="array" ref="E33">IFERROR(INDEX(F_SHIFT_ESDS,19),"")</f>
        <v>0</v>
      </c>
      <c r="G33" s="74">
        <v>2130</v>
      </c>
      <c r="H33" s="75" t="str">
        <f>IF('2026'!I57&lt;&gt;"", '2026'!I57, "")</f>
        <v/>
      </c>
    </row>
    <row r="34" spans="1:8" ht="13.5" customHeight="1" x14ac:dyDescent="0.2">
      <c r="A34" s="55" cm="1">
        <f t="array" ref="A34">IFERROR(INDEX(A_SHIFT_ESDS,20),"")</f>
        <v>0</v>
      </c>
      <c r="B34" s="54" t="str" cm="1">
        <f t="array" ref="B34">IFERROR(INDEX(B_SHIFT_ESDS,20),"")</f>
        <v>Jose Lopez</v>
      </c>
      <c r="C34" s="54"/>
      <c r="D34" s="54" t="str" cm="1">
        <f t="array" ref="D34">IFERROR(INDEX(E_SHIFT_ESDS,20),"")</f>
        <v>Kanong Lee</v>
      </c>
      <c r="E34" s="54" cm="1">
        <f t="array" ref="E34">IFERROR(INDEX(F_SHIFT_ESDS,20),"")</f>
        <v>0</v>
      </c>
      <c r="G34" s="74">
        <v>2330</v>
      </c>
      <c r="H34" s="75" t="str">
        <f>IF('2026'!I58&lt;&gt;"", '2026'!I58, "")</f>
        <v/>
      </c>
    </row>
    <row r="35" spans="1:8" ht="13.5" customHeight="1" x14ac:dyDescent="0.2">
      <c r="A35" s="55" cm="1">
        <f t="array" ref="A35">IFERROR(INDEX(A_SHIFT_ESDS,21),"")</f>
        <v>0</v>
      </c>
      <c r="B35" s="54" t="str" cm="1">
        <f t="array" ref="B35">IFERROR(INDEX(B_SHIFT_ESDS,21),"")</f>
        <v>Brenda Basulto</v>
      </c>
      <c r="C35" s="54"/>
      <c r="D35" s="54" t="str" cm="1">
        <f t="array" ref="D35">IFERROR(INDEX(E_SHIFT_ESDS,21),"")</f>
        <v>Delaney Boyd-Escobedo</v>
      </c>
      <c r="E35" s="54" cm="1">
        <f t="array" ref="E35">IFERROR(INDEX(F_SHIFT_ESDS,21),"")</f>
        <v>0</v>
      </c>
      <c r="G35" s="74">
        <v>130</v>
      </c>
      <c r="H35" s="75" t="str">
        <f>IF('2026'!I59&lt;&gt;"", '2026'!I59, "")</f>
        <v/>
      </c>
    </row>
    <row r="36" spans="1:8" ht="12.2" customHeight="1" x14ac:dyDescent="0.25">
      <c r="A36" s="54"/>
      <c r="B36" s="54" t="str" cm="1">
        <f t="array" ref="B36">IFERROR(INDEX(B_SHIFT_ESDS,22),"")</f>
        <v>Vanessa Mercado</v>
      </c>
      <c r="C36" s="52" t="s">
        <v>37</v>
      </c>
      <c r="D36" s="54" t="str" cm="1">
        <f t="array" ref="D36">IFERROR(INDEX(E_SHIFT_ESDS,22),"")</f>
        <v>Jackeline Carreon</v>
      </c>
      <c r="E36" s="54" cm="1">
        <f t="array" ref="E36">IFERROR(INDEX(F_SHIFT_ESDS,22),"")</f>
        <v>0</v>
      </c>
      <c r="G36" s="84"/>
      <c r="H36" s="85"/>
    </row>
    <row r="37" spans="1:8" ht="12.2" customHeight="1" x14ac:dyDescent="0.25">
      <c r="A37" s="54"/>
      <c r="B37" s="54" cm="1">
        <f t="array" ref="B37">IFERROR(INDEX(B_SHIFT_ESDS,23),"")</f>
        <v>0</v>
      </c>
      <c r="C37" s="54" t="str" cm="1">
        <f t="array" ref="C37">IFERROR(INDEX(D_SHIFT_ESDS,1),"")</f>
        <v>May Yen Yang</v>
      </c>
      <c r="D37" s="54" t="str" cm="1">
        <f t="array" ref="D37">IFERROR(INDEX(E_SHIFT_ESDS,23),"")</f>
        <v>Leanne Heslep</v>
      </c>
      <c r="E37" s="54" cm="1">
        <f t="array" ref="E37">IFERROR(INDEX(F_SHIFT_ESDS,23),"")</f>
        <v>0</v>
      </c>
      <c r="F37" s="65"/>
      <c r="G37" s="59" t="s">
        <v>114</v>
      </c>
      <c r="H37" s="60"/>
    </row>
    <row r="38" spans="1:8" ht="12.2" customHeight="1" x14ac:dyDescent="0.2">
      <c r="A38" s="54"/>
      <c r="B38" s="54" cm="1">
        <f t="array" ref="B38">IFERROR(INDEX(B_SHIFT_ESDS,24),"")</f>
        <v>0</v>
      </c>
      <c r="C38" s="54" t="str" cm="1">
        <f t="array" ref="C38">IFERROR(INDEX(D_SHIFT_ESDS,2),"")</f>
        <v>Lydia Martinez</v>
      </c>
      <c r="D38" s="54" t="str" cm="1">
        <f t="array" ref="D38">IFERROR(INDEX(E_SHIFT_ESDS,24),"")</f>
        <v xml:space="preserve">Brittany Watson </v>
      </c>
      <c r="E38" s="54" cm="1">
        <f t="array" ref="E38">IFERROR(INDEX(F_SHIFT_ESDS,24),"")</f>
        <v>0</v>
      </c>
      <c r="G38" s="59" t="s">
        <v>18</v>
      </c>
      <c r="H38" s="60"/>
    </row>
    <row r="39" spans="1:8" ht="12.2" customHeight="1" x14ac:dyDescent="0.25">
      <c r="A39" s="54"/>
      <c r="B39" s="54" cm="1">
        <f t="array" ref="B39">IFERROR(INDEX(B_SHIFT_ESDS,25),"")</f>
        <v>0</v>
      </c>
      <c r="C39" s="54" t="str" cm="1">
        <f t="array" ref="C39">IFERROR(INDEX(D_SHIFT_ESDS,3),"")</f>
        <v>Amanda Willis</v>
      </c>
      <c r="D39" s="54" cm="1">
        <f t="array" ref="D39">IFERROR(INDEX(E_SHIFT_ESDS,25),"")</f>
        <v>0</v>
      </c>
      <c r="E39" s="54"/>
      <c r="F39" s="65"/>
      <c r="G39" s="59" t="s">
        <v>7</v>
      </c>
      <c r="H39" s="60"/>
    </row>
    <row r="40" spans="1:8" ht="12.2" customHeight="1" x14ac:dyDescent="0.2">
      <c r="A40" s="54"/>
      <c r="B40" s="54" cm="1">
        <f t="array" ref="B40">IFERROR(INDEX(B_SHIFT_ESDS,26),"")</f>
        <v>0</v>
      </c>
      <c r="C40" s="54" t="str" cm="1">
        <f t="array" ref="C40">IFERROR(INDEX(D_SHIFT_ESDS,4),"")</f>
        <v>Maria Jones</v>
      </c>
      <c r="D40" s="54" cm="1">
        <f t="array" ref="D40">IFERROR(INDEX(E_SHIFT_ESDS,26),"")</f>
        <v>0</v>
      </c>
      <c r="E40" s="54"/>
      <c r="F40" s="61"/>
      <c r="G40" s="59" t="s">
        <v>8</v>
      </c>
      <c r="H40" s="60"/>
    </row>
    <row r="41" spans="1:8" ht="12.2" customHeight="1" x14ac:dyDescent="0.2">
      <c r="A41" s="54"/>
      <c r="B41" s="54" cm="1">
        <f t="array" ref="B41">IFERROR(INDEX(B_SHIFT_ESDS,27),"")</f>
        <v>0</v>
      </c>
      <c r="C41" s="54" t="str" cm="1">
        <f t="array" ref="C41">IFERROR(INDEX(D_SHIFT_ESDS,5),"")</f>
        <v>Shadon Riahizadeh</v>
      </c>
      <c r="D41" s="54" cm="1">
        <f t="array" ref="D41">IFERROR(INDEX(E_SHIFT_ESDS,27),"")</f>
        <v>0</v>
      </c>
      <c r="E41" s="54"/>
      <c r="F41" s="61"/>
      <c r="G41" s="61"/>
      <c r="H41" s="61"/>
    </row>
    <row r="42" spans="1:8" ht="12.2" customHeight="1" x14ac:dyDescent="0.2">
      <c r="A42" s="54"/>
      <c r="B42" s="54" cm="1">
        <f t="array" ref="B42">IFERROR(INDEX(B_SHIFT_ESDS,28),"")</f>
        <v>0</v>
      </c>
      <c r="C42" s="54" t="str" cm="1">
        <f t="array" ref="C42">IFERROR(INDEX(D_SHIFT_ESDS,6),"")</f>
        <v>Danielle Parre</v>
      </c>
      <c r="D42" s="54" cm="1">
        <f t="array" ref="D42">IFERROR(INDEX(E_SHIFT_ESDS,28),"")</f>
        <v>0</v>
      </c>
      <c r="E42" s="54"/>
      <c r="F42" s="61"/>
      <c r="G42" s="61"/>
      <c r="H42" s="61"/>
    </row>
    <row r="43" spans="1:8" ht="15.75" customHeight="1" x14ac:dyDescent="0.2">
      <c r="A43" s="54"/>
      <c r="B43" s="54" cm="1">
        <f t="array" ref="B43">IFERROR(INDEX(B_SHIFT_ESDS,29),"")</f>
        <v>0</v>
      </c>
      <c r="C43" s="54" t="str" cm="1">
        <f t="array" ref="C43">IFERROR(INDEX(D_SHIFT_ESDS,7),"")</f>
        <v>Brenda Basulto</v>
      </c>
      <c r="D43" s="54" cm="1">
        <f t="array" ref="D43">IFERROR(INDEX(E_SHIFT_ESDS,29),"")</f>
        <v>0</v>
      </c>
      <c r="E43" s="54"/>
      <c r="F43" s="64"/>
      <c r="G43" s="61"/>
      <c r="H43" s="61"/>
    </row>
    <row r="44" spans="1:8" ht="15.75" customHeight="1" x14ac:dyDescent="0.2">
      <c r="A44" s="54"/>
      <c r="B44" s="54" cm="1">
        <f t="array" ref="B44">IFERROR(INDEX(B_SHIFT_ESDS,30),"")</f>
        <v>0</v>
      </c>
      <c r="C44" s="54" t="str" cm="1">
        <f t="array" ref="C44">IFERROR(INDEX(D_SHIFT_ESDS,8),"")</f>
        <v>Emily Franco</v>
      </c>
      <c r="D44" s="54" cm="1">
        <f t="array" ref="D44">IFERROR(INDEX(E_SHIFT_ESDS,30),"")</f>
        <v>0</v>
      </c>
      <c r="E44" s="54"/>
      <c r="F44" s="64"/>
      <c r="G44" s="61"/>
      <c r="H44" s="61"/>
    </row>
    <row r="45" spans="1:8" ht="15.75" customHeight="1" x14ac:dyDescent="0.2">
      <c r="A45" s="54"/>
      <c r="B45" s="54" cm="1">
        <f t="array" ref="B45">IFERROR(INDEX(B_SHIFT_ESDS,31),"")</f>
        <v>0</v>
      </c>
      <c r="C45" s="54" t="str" cm="1">
        <f t="array" ref="C45">IFERROR(INDEX(D_SHIFT_ESDS,9),"")</f>
        <v>Ricka  Majors</v>
      </c>
      <c r="D45" s="54" cm="1">
        <f t="array" ref="D45">IFERROR(INDEX(E_SHIFT_ESDS,31),"")</f>
        <v>0</v>
      </c>
      <c r="E45" s="55"/>
    </row>
    <row r="46" spans="1:8" ht="15.75" customHeight="1" x14ac:dyDescent="0.2">
      <c r="A46" s="54" cm="1">
        <f t="array" ref="A46">IFERROR(INDEX(TRAINEES_ESDS,16),"")</f>
        <v>0</v>
      </c>
      <c r="B46" s="54" cm="1">
        <f t="array" ref="B46">IFERROR(INDEX(B_SHIFT_ESDS,32),"")</f>
        <v>0</v>
      </c>
      <c r="C46" s="54" t="str" cm="1">
        <f t="array" ref="C46">IFERROR(INDEX(D_SHIFT_ESDS,10),"")</f>
        <v>Asuzena Aquino</v>
      </c>
      <c r="D46" s="54" cm="1">
        <f t="array" ref="D46">IFERROR(INDEX(E_SHIFT_ESDS,32),"")</f>
        <v>0</v>
      </c>
      <c r="E46" s="55"/>
    </row>
    <row r="47" spans="1:8" ht="15.75" customHeight="1" x14ac:dyDescent="0.2">
      <c r="A47" s="54" cm="1">
        <f t="array" ref="A47">IFERROR(INDEX(TRAINEES_ESDS,17),"")</f>
        <v>0</v>
      </c>
      <c r="B47" s="54" cm="1">
        <f t="array" ref="B47">IFERROR(INDEX(B_SHIFT_ESDS,33),"")</f>
        <v>0</v>
      </c>
      <c r="C47" s="54" t="str" cm="1">
        <f t="array" ref="C47">IFERROR(INDEX(D_SHIFT_ESDS,11),"")</f>
        <v>Jorge Rosales</v>
      </c>
    </row>
    <row r="48" spans="1:8" ht="15.75" customHeight="1" x14ac:dyDescent="0.2">
      <c r="A48" s="54" cm="1">
        <f t="array" ref="A48">IFERROR(INDEX(TRAINEES_ESDS,18),"")</f>
        <v>0</v>
      </c>
      <c r="B48" s="54" cm="1">
        <f t="array" ref="B48">IFERROR(INDEX(B_SHIFT_ESDS,34),"")</f>
        <v>0</v>
      </c>
      <c r="C48" s="54" t="str" cm="1">
        <f t="array" ref="C48">IFERROR(INDEX(D_SHIFT_ESDS,12),"")</f>
        <v>Cierra Chochrek</v>
      </c>
    </row>
    <row r="49" spans="1:3" ht="15.75" customHeight="1" x14ac:dyDescent="0.2">
      <c r="A49" s="54" cm="1">
        <f t="array" ref="A49">IFERROR(INDEX(TRAINEES_ESDS,19),"")</f>
        <v>0</v>
      </c>
      <c r="B49" s="54" cm="1">
        <f t="array" ref="B49">IFERROR(INDEX(B_SHIFT_ESDS,35),"")</f>
        <v>0</v>
      </c>
      <c r="C49" s="54" t="str" cm="1">
        <f t="array" ref="C49">IFERROR(INDEX(D_SHIFT_ESDS,13),"")</f>
        <v>Daniel Gallardo</v>
      </c>
    </row>
    <row r="50" spans="1:3" ht="15.75" customHeight="1" x14ac:dyDescent="0.2">
      <c r="A50" s="54" cm="1">
        <f t="array" ref="A50">IFERROR(INDEX(TRAINEES_ESDS,20),"")</f>
        <v>0</v>
      </c>
      <c r="B50" s="54" cm="1">
        <f t="array" ref="B50">IFERROR(INDEX(B_SHIFT_ESDS,36),"")</f>
        <v>0</v>
      </c>
      <c r="C50" s="54" cm="1">
        <f t="array" ref="C50">IFERROR(INDEX(D_SHIFT_ESDS,14),"")</f>
        <v>0</v>
      </c>
    </row>
    <row r="51" spans="1:3" ht="15.75" customHeight="1" x14ac:dyDescent="0.2">
      <c r="B51" s="54" cm="1">
        <f t="array" ref="B51">IFERROR(INDEX(B_SHIFT_ESDS,37),"")</f>
        <v>0</v>
      </c>
      <c r="C51" s="54" cm="1">
        <f t="array" ref="C51">IFERROR(INDEX(D_SHIFT_ESDS,15),"")</f>
        <v>0</v>
      </c>
    </row>
    <row r="52" spans="1:3" ht="15.75" customHeight="1" x14ac:dyDescent="0.2">
      <c r="B52" s="54" cm="1">
        <f t="array" ref="B52">IFERROR(INDEX(B_SHIFT_ESDS,38),"")</f>
        <v>0</v>
      </c>
      <c r="C52" s="54" cm="1">
        <f t="array" ref="C52">IFERROR(INDEX(D_SHIFT_ESDS,16),"")</f>
        <v>0</v>
      </c>
    </row>
    <row r="53" spans="1:3" ht="15.75" customHeight="1" x14ac:dyDescent="0.2">
      <c r="C53" s="54" cm="1">
        <f t="array" ref="C53">IFERROR(INDEX(D_SHIFT_ESDS,17),"")</f>
        <v>0</v>
      </c>
    </row>
    <row r="54" spans="1:3" ht="15.75" customHeight="1" x14ac:dyDescent="0.2"/>
    <row r="55" spans="1:3" ht="15.75" customHeight="1" x14ac:dyDescent="0.2"/>
    <row r="56" spans="1:3" ht="15.75" customHeight="1" x14ac:dyDescent="0.2"/>
    <row r="57" spans="1:3" ht="15.75" customHeight="1" x14ac:dyDescent="0.2"/>
    <row r="58" spans="1:3" ht="15.75" customHeight="1" x14ac:dyDescent="0.2"/>
    <row r="59" spans="1:3" ht="15.75" customHeight="1" x14ac:dyDescent="0.2"/>
    <row r="60" spans="1:3" ht="15.75" customHeight="1" x14ac:dyDescent="0.2"/>
    <row r="61" spans="1:3" ht="15.75" customHeight="1" x14ac:dyDescent="0.2"/>
    <row r="62" spans="1:3" ht="15.75" customHeight="1" x14ac:dyDescent="0.2"/>
    <row r="63" spans="1:3" ht="15.75" customHeight="1" x14ac:dyDescent="0.2"/>
    <row r="64" spans="1:3" ht="15.75" customHeight="1" x14ac:dyDescent="0.2"/>
    <row r="65" s="57" customFormat="1" ht="15.75" customHeight="1" x14ac:dyDescent="0.2"/>
    <row r="66" s="57" customFormat="1" ht="15.75" customHeight="1" x14ac:dyDescent="0.2"/>
    <row r="67" s="57" customFormat="1" ht="15.75" customHeight="1" x14ac:dyDescent="0.2"/>
    <row r="68" s="57" customFormat="1" ht="15.75" customHeight="1" x14ac:dyDescent="0.2"/>
    <row r="69" s="57" customFormat="1" ht="15.75" customHeight="1" x14ac:dyDescent="0.2"/>
    <row r="70" s="57" customFormat="1" ht="15.75" customHeight="1" x14ac:dyDescent="0.2"/>
    <row r="71" s="57" customFormat="1" ht="15.75" customHeight="1" x14ac:dyDescent="0.2"/>
    <row r="72" s="57" customFormat="1" ht="15.75" customHeight="1" x14ac:dyDescent="0.2"/>
    <row r="73" s="57" customFormat="1" ht="15.75" customHeight="1" x14ac:dyDescent="0.2"/>
    <row r="74" s="57" customFormat="1" ht="15.75" customHeight="1" x14ac:dyDescent="0.2"/>
    <row r="75" s="57" customFormat="1" ht="15.75" customHeight="1" x14ac:dyDescent="0.2"/>
    <row r="76" s="57" customFormat="1" ht="15.75" customHeight="1" x14ac:dyDescent="0.2"/>
    <row r="77" s="57" customFormat="1" ht="15.75" customHeight="1" x14ac:dyDescent="0.2"/>
    <row r="78" s="57" customFormat="1" ht="15.75" customHeight="1" x14ac:dyDescent="0.2"/>
    <row r="79" s="57" customFormat="1" ht="15.75" customHeight="1" x14ac:dyDescent="0.2"/>
    <row r="80" s="57" customFormat="1" ht="15.75" customHeight="1" x14ac:dyDescent="0.2"/>
    <row r="81" s="57" customFormat="1" ht="15.75" customHeight="1" x14ac:dyDescent="0.2"/>
    <row r="82" s="57" customFormat="1" ht="15.75" customHeight="1" x14ac:dyDescent="0.2"/>
    <row r="83" s="57" customFormat="1" ht="15.75" customHeight="1" x14ac:dyDescent="0.2"/>
    <row r="84" s="57" customFormat="1" ht="15.75" customHeight="1" x14ac:dyDescent="0.2"/>
    <row r="85" s="57" customFormat="1" ht="15.75" customHeight="1" x14ac:dyDescent="0.2"/>
    <row r="86" s="57" customFormat="1" ht="15.75" customHeight="1" x14ac:dyDescent="0.2"/>
    <row r="87" s="57" customFormat="1" ht="15.75" customHeight="1" x14ac:dyDescent="0.2"/>
    <row r="88" s="57" customFormat="1" ht="15.75" customHeight="1" x14ac:dyDescent="0.2"/>
    <row r="89" s="57" customFormat="1" ht="15.75" customHeight="1" x14ac:dyDescent="0.2"/>
    <row r="90" s="57" customFormat="1" ht="15.75" customHeight="1" x14ac:dyDescent="0.2"/>
    <row r="91" s="57" customFormat="1" ht="15.75" customHeight="1" x14ac:dyDescent="0.2"/>
    <row r="92" s="57" customFormat="1" ht="15.75" customHeight="1" x14ac:dyDescent="0.2"/>
    <row r="93" s="57" customFormat="1" ht="15.75" customHeight="1" x14ac:dyDescent="0.2"/>
    <row r="94" s="57" customFormat="1" ht="15.75" customHeight="1" x14ac:dyDescent="0.2"/>
    <row r="95" s="57" customFormat="1" ht="15.75" customHeight="1" x14ac:dyDescent="0.2"/>
    <row r="96" s="57" customFormat="1" ht="15.75" customHeight="1" x14ac:dyDescent="0.2"/>
    <row r="97" s="57" customFormat="1" ht="15.75" customHeight="1" x14ac:dyDescent="0.2"/>
    <row r="98" s="57" customFormat="1" ht="15.75" customHeight="1" x14ac:dyDescent="0.2"/>
    <row r="99" s="57" customFormat="1" ht="15.75" customHeight="1" x14ac:dyDescent="0.2"/>
    <row r="100" s="57" customFormat="1" ht="15.75" customHeight="1" x14ac:dyDescent="0.2"/>
    <row r="101" s="57" customFormat="1" ht="15.75" customHeight="1" x14ac:dyDescent="0.2"/>
    <row r="102" s="57" customFormat="1" ht="15.75" customHeight="1" x14ac:dyDescent="0.2"/>
    <row r="103" s="57" customFormat="1" ht="15.75" customHeight="1" x14ac:dyDescent="0.2"/>
    <row r="104" s="57" customFormat="1" ht="15.75" customHeight="1" x14ac:dyDescent="0.2"/>
    <row r="105" s="57" customFormat="1" ht="15.75" customHeight="1" x14ac:dyDescent="0.2"/>
    <row r="106" s="57" customFormat="1" ht="15.75" customHeight="1" x14ac:dyDescent="0.2"/>
    <row r="107" s="57" customFormat="1" ht="15.75" customHeight="1" x14ac:dyDescent="0.2"/>
    <row r="108" s="57" customFormat="1" ht="15.75" customHeight="1" x14ac:dyDescent="0.2"/>
    <row r="109" s="57" customFormat="1" ht="15.75" customHeight="1" x14ac:dyDescent="0.2"/>
    <row r="110" s="57" customFormat="1" ht="15.75" customHeight="1" x14ac:dyDescent="0.2"/>
    <row r="111" s="57" customFormat="1" ht="15.75" customHeight="1" x14ac:dyDescent="0.2"/>
    <row r="112" s="57" customFormat="1" ht="15.75" customHeight="1" x14ac:dyDescent="0.2"/>
    <row r="113" s="57" customFormat="1" ht="15.75" customHeight="1" x14ac:dyDescent="0.2"/>
    <row r="114" s="57" customFormat="1" ht="15.75" customHeight="1" x14ac:dyDescent="0.2"/>
    <row r="115" s="57" customFormat="1" ht="15.75" customHeight="1" x14ac:dyDescent="0.2"/>
    <row r="116" s="57" customFormat="1" ht="15.75" customHeight="1" x14ac:dyDescent="0.2"/>
    <row r="117" s="57" customFormat="1" ht="15.75" customHeight="1" x14ac:dyDescent="0.2"/>
    <row r="118" s="57" customFormat="1" ht="15.75" customHeight="1" x14ac:dyDescent="0.2"/>
    <row r="119" s="57" customFormat="1" ht="15.75" customHeight="1" x14ac:dyDescent="0.2"/>
    <row r="120" s="57" customFormat="1" ht="15.75" customHeight="1" x14ac:dyDescent="0.2"/>
    <row r="121" s="57" customFormat="1" ht="15.75" customHeight="1" x14ac:dyDescent="0.2"/>
    <row r="122" s="57" customFormat="1" ht="15.75" customHeight="1" x14ac:dyDescent="0.2"/>
    <row r="123" s="57" customFormat="1" ht="15.75" customHeight="1" x14ac:dyDescent="0.2"/>
    <row r="124" s="57" customFormat="1" ht="15.75" customHeight="1" x14ac:dyDescent="0.2"/>
    <row r="125" s="57" customFormat="1" ht="15.75" customHeight="1" x14ac:dyDescent="0.2"/>
    <row r="126" s="57" customFormat="1" ht="15.75" customHeight="1" x14ac:dyDescent="0.2"/>
    <row r="127" s="57" customFormat="1" ht="15.75" customHeight="1" x14ac:dyDescent="0.2"/>
    <row r="128" s="57" customFormat="1" ht="15.75" customHeight="1" x14ac:dyDescent="0.2"/>
    <row r="129" s="57" customFormat="1" ht="15.75" customHeight="1" x14ac:dyDescent="0.2"/>
    <row r="130" s="57" customFormat="1" ht="15.75" customHeight="1" x14ac:dyDescent="0.2"/>
    <row r="131" s="57" customFormat="1" ht="15.75" customHeight="1" x14ac:dyDescent="0.2"/>
    <row r="132" s="57" customFormat="1" ht="15.75" customHeight="1" x14ac:dyDescent="0.2"/>
    <row r="133" s="57" customFormat="1" ht="15.75" customHeight="1" x14ac:dyDescent="0.2"/>
    <row r="134" s="57" customFormat="1" ht="15.75" customHeight="1" x14ac:dyDescent="0.2"/>
    <row r="135" s="57" customFormat="1" ht="15.75" customHeight="1" x14ac:dyDescent="0.2"/>
    <row r="136" s="57" customFormat="1" ht="15.75" customHeight="1" x14ac:dyDescent="0.2"/>
    <row r="137" s="57" customFormat="1" ht="15.75" customHeight="1" x14ac:dyDescent="0.2"/>
    <row r="138" s="57" customFormat="1" ht="15.75" customHeight="1" x14ac:dyDescent="0.2"/>
    <row r="139" s="57" customFormat="1" ht="15.75" customHeight="1" x14ac:dyDescent="0.2"/>
    <row r="140" s="57" customFormat="1" ht="15.75" customHeight="1" x14ac:dyDescent="0.2"/>
    <row r="141" s="57" customFormat="1" ht="15.75" customHeight="1" x14ac:dyDescent="0.2"/>
    <row r="142" s="57" customFormat="1" ht="15.75" customHeight="1" x14ac:dyDescent="0.2"/>
    <row r="143" s="57" customFormat="1" ht="15.75" customHeight="1" x14ac:dyDescent="0.2"/>
    <row r="144" s="57" customFormat="1" ht="15.75" customHeight="1" x14ac:dyDescent="0.2"/>
    <row r="145" s="57" customFormat="1" ht="15.75" customHeight="1" x14ac:dyDescent="0.2"/>
    <row r="146" s="57" customFormat="1" ht="15.75" customHeight="1" x14ac:dyDescent="0.2"/>
    <row r="147" s="57" customFormat="1" ht="15.75" customHeight="1" x14ac:dyDescent="0.2"/>
    <row r="148" s="57" customFormat="1" ht="15.75" customHeight="1" x14ac:dyDescent="0.2"/>
    <row r="149" s="57" customFormat="1" ht="15.75" customHeight="1" x14ac:dyDescent="0.2"/>
    <row r="150" s="57" customFormat="1" ht="15.75" customHeight="1" x14ac:dyDescent="0.2"/>
    <row r="151" s="57" customFormat="1" ht="15.75" customHeight="1" x14ac:dyDescent="0.2"/>
    <row r="152" s="57" customFormat="1" ht="15.75" customHeight="1" x14ac:dyDescent="0.2"/>
    <row r="153" s="57" customFormat="1" ht="15.75" customHeight="1" x14ac:dyDescent="0.2"/>
    <row r="154" s="57" customFormat="1" ht="15.75" customHeight="1" x14ac:dyDescent="0.2"/>
    <row r="155" s="57" customFormat="1" ht="15.75" customHeight="1" x14ac:dyDescent="0.2"/>
    <row r="156" s="57" customFormat="1" ht="15.75" customHeight="1" x14ac:dyDescent="0.2"/>
    <row r="157" s="57" customFormat="1" ht="15.75" customHeight="1" x14ac:dyDescent="0.2"/>
    <row r="158" s="57" customFormat="1" ht="15.75" customHeight="1" x14ac:dyDescent="0.2"/>
    <row r="159" s="57" customFormat="1" ht="15.75" customHeight="1" x14ac:dyDescent="0.2"/>
    <row r="160" s="57" customFormat="1" ht="15.75" customHeight="1" x14ac:dyDescent="0.2"/>
    <row r="161" s="57" customFormat="1" ht="15.75" customHeight="1" x14ac:dyDescent="0.2"/>
    <row r="162" s="57" customFormat="1" ht="15.75" customHeight="1" x14ac:dyDescent="0.2"/>
    <row r="163" s="57" customFormat="1" ht="15.75" customHeight="1" x14ac:dyDescent="0.2"/>
    <row r="164" s="57" customFormat="1" ht="15.75" customHeight="1" x14ac:dyDescent="0.2"/>
    <row r="165" s="57" customFormat="1" ht="15.75" customHeight="1" x14ac:dyDescent="0.2"/>
    <row r="166" s="57" customFormat="1" ht="15.75" customHeight="1" x14ac:dyDescent="0.2"/>
    <row r="167" s="57" customFormat="1" ht="15.75" customHeight="1" x14ac:dyDescent="0.2"/>
    <row r="168" s="57" customFormat="1" ht="15.75" customHeight="1" x14ac:dyDescent="0.2"/>
    <row r="169" s="57" customFormat="1" ht="15.75" customHeight="1" x14ac:dyDescent="0.2"/>
    <row r="170" s="57" customFormat="1" ht="15.75" customHeight="1" x14ac:dyDescent="0.2"/>
    <row r="171" s="57" customFormat="1" ht="15.75" customHeight="1" x14ac:dyDescent="0.2"/>
    <row r="172" s="57" customFormat="1" ht="15.75" customHeight="1" x14ac:dyDescent="0.2"/>
    <row r="173" s="57" customFormat="1" ht="15.75" customHeight="1" x14ac:dyDescent="0.2"/>
    <row r="174" s="57" customFormat="1" ht="15.75" customHeight="1" x14ac:dyDescent="0.2"/>
    <row r="175" s="57" customFormat="1" ht="15.75" customHeight="1" x14ac:dyDescent="0.2"/>
    <row r="176" s="57" customFormat="1" ht="15.75" customHeight="1" x14ac:dyDescent="0.2"/>
    <row r="177" s="57" customFormat="1" ht="15.75" customHeight="1" x14ac:dyDescent="0.2"/>
    <row r="178" s="57" customFormat="1" ht="15.75" customHeight="1" x14ac:dyDescent="0.2"/>
    <row r="179" s="57" customFormat="1" ht="15.75" customHeight="1" x14ac:dyDescent="0.2"/>
    <row r="180" s="57" customFormat="1" ht="15.75" customHeight="1" x14ac:dyDescent="0.2"/>
    <row r="181" s="57" customFormat="1" ht="15.75" customHeight="1" x14ac:dyDescent="0.2"/>
    <row r="182" s="57" customFormat="1" ht="15.75" customHeight="1" x14ac:dyDescent="0.2"/>
    <row r="183" s="57" customFormat="1" ht="15.75" customHeight="1" x14ac:dyDescent="0.2"/>
    <row r="184" s="57" customFormat="1" ht="15.75" customHeight="1" x14ac:dyDescent="0.2"/>
    <row r="185" s="57" customFormat="1" ht="15.75" customHeight="1" x14ac:dyDescent="0.2"/>
    <row r="186" s="57" customFormat="1" ht="15.75" customHeight="1" x14ac:dyDescent="0.2"/>
    <row r="187" s="57" customFormat="1" ht="15.75" customHeight="1" x14ac:dyDescent="0.2"/>
    <row r="188" s="57" customFormat="1" ht="15.75" customHeight="1" x14ac:dyDescent="0.2"/>
    <row r="189" s="57" customFormat="1" ht="15.75" customHeight="1" x14ac:dyDescent="0.2"/>
    <row r="190" s="57" customFormat="1" ht="15.75" customHeight="1" x14ac:dyDescent="0.2"/>
    <row r="191" s="57" customFormat="1" ht="15.75" customHeight="1" x14ac:dyDescent="0.2"/>
    <row r="192" s="57" customFormat="1" ht="15.75" customHeight="1" x14ac:dyDescent="0.2"/>
    <row r="193" s="57" customFormat="1" ht="15.75" customHeight="1" x14ac:dyDescent="0.2"/>
    <row r="194" s="57" customFormat="1" ht="15.75" customHeight="1" x14ac:dyDescent="0.2"/>
    <row r="195" s="57" customFormat="1" ht="15.75" customHeight="1" x14ac:dyDescent="0.2"/>
    <row r="196" s="57" customFormat="1" ht="15.75" customHeight="1" x14ac:dyDescent="0.2"/>
    <row r="197" s="57" customFormat="1" ht="15.75" customHeight="1" x14ac:dyDescent="0.2"/>
    <row r="198" s="57" customFormat="1" ht="15.75" customHeight="1" x14ac:dyDescent="0.2"/>
    <row r="199" s="57" customFormat="1" ht="15.75" customHeight="1" x14ac:dyDescent="0.2"/>
    <row r="200" s="57" customFormat="1" ht="15.75" customHeight="1" x14ac:dyDescent="0.2"/>
    <row r="201" s="57" customFormat="1" ht="15.75" customHeight="1" x14ac:dyDescent="0.2"/>
    <row r="202" s="57" customFormat="1" ht="15.75" customHeight="1" x14ac:dyDescent="0.2"/>
    <row r="203" s="57" customFormat="1" ht="15.75" customHeight="1" x14ac:dyDescent="0.2"/>
    <row r="204" s="57" customFormat="1" ht="15.75" customHeight="1" x14ac:dyDescent="0.2"/>
    <row r="205" s="57" customFormat="1" ht="15.75" customHeight="1" x14ac:dyDescent="0.2"/>
    <row r="206" s="57" customFormat="1" ht="15.75" customHeight="1" x14ac:dyDescent="0.2"/>
    <row r="207" s="57" customFormat="1" ht="15.75" customHeight="1" x14ac:dyDescent="0.2"/>
    <row r="208" s="57" customFormat="1" ht="15.75" customHeight="1" x14ac:dyDescent="0.2"/>
    <row r="209" s="57" customFormat="1" ht="15.75" customHeight="1" x14ac:dyDescent="0.2"/>
    <row r="210" s="57" customFormat="1" ht="15.75" customHeight="1" x14ac:dyDescent="0.2"/>
    <row r="211" s="57" customFormat="1" ht="15.75" customHeight="1" x14ac:dyDescent="0.2"/>
    <row r="212" s="57" customFormat="1" ht="15.75" customHeight="1" x14ac:dyDescent="0.2"/>
    <row r="213" s="57" customFormat="1" ht="15.75" customHeight="1" x14ac:dyDescent="0.2"/>
    <row r="214" s="57" customFormat="1" ht="15.75" customHeight="1" x14ac:dyDescent="0.2"/>
    <row r="215" s="57" customFormat="1" ht="15.75" customHeight="1" x14ac:dyDescent="0.2"/>
    <row r="216" s="57" customFormat="1" ht="15.75" customHeight="1" x14ac:dyDescent="0.2"/>
    <row r="217" s="57" customFormat="1" ht="15.75" customHeight="1" x14ac:dyDescent="0.2"/>
    <row r="218" s="57" customFormat="1" ht="15.75" customHeight="1" x14ac:dyDescent="0.2"/>
    <row r="219" s="57" customFormat="1" ht="15.75" customHeight="1" x14ac:dyDescent="0.2"/>
    <row r="220" s="57" customFormat="1" ht="15.75" customHeight="1" x14ac:dyDescent="0.2"/>
    <row r="221" s="57" customFormat="1" ht="15.75" customHeight="1" x14ac:dyDescent="0.2"/>
    <row r="222" s="57" customFormat="1" ht="15.75" customHeight="1" x14ac:dyDescent="0.2"/>
    <row r="223" s="57" customFormat="1" ht="15.75" customHeight="1" x14ac:dyDescent="0.2"/>
    <row r="224" s="57" customFormat="1" ht="15.75" customHeight="1" x14ac:dyDescent="0.2"/>
    <row r="225" s="57" customFormat="1" ht="15.75" customHeight="1" x14ac:dyDescent="0.2"/>
    <row r="226" s="57" customFormat="1" ht="15.75" customHeight="1" x14ac:dyDescent="0.2"/>
    <row r="227" s="57" customFormat="1" ht="15.75" customHeight="1" x14ac:dyDescent="0.2"/>
    <row r="228" s="57" customFormat="1" ht="15.75" customHeight="1" x14ac:dyDescent="0.2"/>
    <row r="229" s="57" customFormat="1" ht="15.75" customHeight="1" x14ac:dyDescent="0.2"/>
    <row r="230" s="57" customFormat="1" ht="15.75" customHeight="1" x14ac:dyDescent="0.2"/>
    <row r="231" s="57" customFormat="1" ht="15.75" customHeight="1" x14ac:dyDescent="0.2"/>
    <row r="232" s="57" customFormat="1" ht="15.75" customHeight="1" x14ac:dyDescent="0.2"/>
    <row r="233" s="57" customFormat="1" ht="15.75" customHeight="1" x14ac:dyDescent="0.2"/>
    <row r="234" s="57" customFormat="1" ht="15.75" customHeight="1" x14ac:dyDescent="0.2"/>
    <row r="235" s="57" customFormat="1" ht="15.75" customHeight="1" x14ac:dyDescent="0.2"/>
    <row r="236" s="57" customFormat="1" ht="15.75" customHeight="1" x14ac:dyDescent="0.2"/>
    <row r="237" s="57" customFormat="1" ht="15.75" customHeight="1" x14ac:dyDescent="0.2"/>
    <row r="238" s="57" customFormat="1" ht="15.75" customHeight="1" x14ac:dyDescent="0.2"/>
    <row r="239" s="57" customFormat="1" ht="15.75" customHeight="1" x14ac:dyDescent="0.2"/>
    <row r="240" s="57" customFormat="1" ht="15.75" customHeight="1" x14ac:dyDescent="0.2"/>
    <row r="241" s="57" customFormat="1" ht="15.75" customHeight="1" x14ac:dyDescent="0.2"/>
    <row r="242" s="57" customFormat="1" ht="15.75" customHeight="1" x14ac:dyDescent="0.2"/>
    <row r="243" s="57" customFormat="1" ht="15.75" customHeight="1" x14ac:dyDescent="0.2"/>
    <row r="244" s="57" customFormat="1" ht="15.75" customHeight="1" x14ac:dyDescent="0.2"/>
    <row r="245" s="57" customFormat="1" ht="15.75" customHeight="1" x14ac:dyDescent="0.2"/>
    <row r="246" s="57" customFormat="1" ht="15.75" customHeight="1" x14ac:dyDescent="0.2"/>
    <row r="247" s="57" customFormat="1" ht="15.75" customHeight="1" x14ac:dyDescent="0.2"/>
    <row r="248" s="57" customFormat="1" ht="15.75" customHeight="1" x14ac:dyDescent="0.2"/>
    <row r="249" s="57" customFormat="1" ht="15.75" customHeight="1" x14ac:dyDescent="0.2"/>
    <row r="250" s="57" customFormat="1" ht="15.75" customHeight="1" x14ac:dyDescent="0.2"/>
    <row r="251" s="57" customFormat="1" ht="15.75" customHeight="1" x14ac:dyDescent="0.2"/>
    <row r="252" s="57" customFormat="1" ht="15.75" customHeight="1" x14ac:dyDescent="0.2"/>
    <row r="253" s="57" customFormat="1" ht="15.75" customHeight="1" x14ac:dyDescent="0.2"/>
    <row r="254" s="57" customFormat="1" ht="15.75" customHeight="1" x14ac:dyDescent="0.2"/>
    <row r="255" s="57" customFormat="1" ht="15.75" customHeight="1" x14ac:dyDescent="0.2"/>
    <row r="256" s="57" customFormat="1" ht="15.75" customHeight="1" x14ac:dyDescent="0.2"/>
    <row r="257" s="57" customFormat="1" ht="15.75" customHeight="1" x14ac:dyDescent="0.2"/>
    <row r="258" s="57" customFormat="1" ht="15.75" customHeight="1" x14ac:dyDescent="0.2"/>
    <row r="259" s="57" customFormat="1" ht="15.75" customHeight="1" x14ac:dyDescent="0.2"/>
    <row r="260" s="57" customFormat="1" ht="15.75" customHeight="1" x14ac:dyDescent="0.2"/>
    <row r="261" s="57" customFormat="1" ht="15.75" customHeight="1" x14ac:dyDescent="0.2"/>
    <row r="262" s="57" customFormat="1" ht="15.75" customHeight="1" x14ac:dyDescent="0.2"/>
    <row r="263" s="57" customFormat="1" ht="15.75" customHeight="1" x14ac:dyDescent="0.2"/>
    <row r="264" s="57" customFormat="1" ht="15.75" customHeight="1" x14ac:dyDescent="0.2"/>
    <row r="265" s="57" customFormat="1" ht="15.75" customHeight="1" x14ac:dyDescent="0.2"/>
    <row r="266" s="57" customFormat="1" ht="15.75" customHeight="1" x14ac:dyDescent="0.2"/>
    <row r="267" s="57" customFormat="1" ht="15.75" customHeight="1" x14ac:dyDescent="0.2"/>
    <row r="268" s="57" customFormat="1" ht="15.75" customHeight="1" x14ac:dyDescent="0.2"/>
    <row r="269" s="57" customFormat="1" ht="15.75" customHeight="1" x14ac:dyDescent="0.2"/>
    <row r="270" s="57" customFormat="1" ht="15.75" customHeight="1" x14ac:dyDescent="0.2"/>
    <row r="271" s="57" customFormat="1" ht="15.75" customHeight="1" x14ac:dyDescent="0.2"/>
    <row r="272" s="57" customFormat="1" ht="15.75" customHeight="1" x14ac:dyDescent="0.2"/>
    <row r="273" s="57" customFormat="1" ht="15.75" customHeight="1" x14ac:dyDescent="0.2"/>
    <row r="274" s="57" customFormat="1" ht="15.75" customHeight="1" x14ac:dyDescent="0.2"/>
    <row r="275" s="57" customFormat="1" ht="15.75" customHeight="1" x14ac:dyDescent="0.2"/>
    <row r="276" s="57" customFormat="1" ht="15.75" customHeight="1" x14ac:dyDescent="0.2"/>
    <row r="277" s="57" customFormat="1" ht="15.75" customHeight="1" x14ac:dyDescent="0.2"/>
    <row r="278" s="57" customFormat="1" ht="15.75" customHeight="1" x14ac:dyDescent="0.2"/>
    <row r="279" s="57" customFormat="1" ht="15.75" customHeight="1" x14ac:dyDescent="0.2"/>
    <row r="280" s="57" customFormat="1" ht="15.75" customHeight="1" x14ac:dyDescent="0.2"/>
    <row r="281" s="57" customFormat="1" ht="15.75" customHeight="1" x14ac:dyDescent="0.2"/>
    <row r="282" s="57" customFormat="1" ht="15.75" customHeight="1" x14ac:dyDescent="0.2"/>
    <row r="283" s="57" customFormat="1" ht="15.75" customHeight="1" x14ac:dyDescent="0.2"/>
    <row r="284" s="57" customFormat="1" ht="15.75" customHeight="1" x14ac:dyDescent="0.2"/>
    <row r="285" s="57" customFormat="1" ht="15.75" customHeight="1" x14ac:dyDescent="0.2"/>
    <row r="286" s="57" customFormat="1" ht="15.75" customHeight="1" x14ac:dyDescent="0.2"/>
    <row r="287" s="57" customFormat="1" ht="15.75" customHeight="1" x14ac:dyDescent="0.2"/>
    <row r="288" s="57" customFormat="1" ht="15.75" customHeight="1" x14ac:dyDescent="0.2"/>
    <row r="289" s="57" customFormat="1" ht="15.75" customHeight="1" x14ac:dyDescent="0.2"/>
    <row r="290" s="57" customFormat="1" ht="15.75" customHeight="1" x14ac:dyDescent="0.2"/>
    <row r="291" s="57" customFormat="1" ht="15.75" customHeight="1" x14ac:dyDescent="0.2"/>
    <row r="292" s="57" customFormat="1" ht="15.75" customHeight="1" x14ac:dyDescent="0.2"/>
    <row r="293" s="57" customFormat="1" ht="15.75" customHeight="1" x14ac:dyDescent="0.2"/>
    <row r="294" s="57" customFormat="1" ht="15.75" customHeight="1" x14ac:dyDescent="0.2"/>
    <row r="295" s="57" customFormat="1" ht="15.75" customHeight="1" x14ac:dyDescent="0.2"/>
    <row r="296" s="57" customFormat="1" ht="15.75" customHeight="1" x14ac:dyDescent="0.2"/>
    <row r="297" s="57" customFormat="1" ht="15.75" customHeight="1" x14ac:dyDescent="0.2"/>
    <row r="298" s="57" customFormat="1" ht="15.75" customHeight="1" x14ac:dyDescent="0.2"/>
    <row r="299" s="57" customFormat="1" ht="15.75" customHeight="1" x14ac:dyDescent="0.2"/>
    <row r="300" s="57" customFormat="1" ht="15.75" customHeight="1" x14ac:dyDescent="0.2"/>
    <row r="301" s="57" customFormat="1" ht="15.75" customHeight="1" x14ac:dyDescent="0.2"/>
    <row r="302" s="57" customFormat="1" ht="15.75" customHeight="1" x14ac:dyDescent="0.2"/>
    <row r="303" s="57" customFormat="1" ht="15.75" customHeight="1" x14ac:dyDescent="0.2"/>
    <row r="304" s="57" customFormat="1" ht="15.75" customHeight="1" x14ac:dyDescent="0.2"/>
    <row r="305" s="57" customFormat="1" ht="15.75" customHeight="1" x14ac:dyDescent="0.2"/>
    <row r="306" s="57" customFormat="1" ht="15.75" customHeight="1" x14ac:dyDescent="0.2"/>
    <row r="307" s="57" customFormat="1" ht="15.75" customHeight="1" x14ac:dyDescent="0.2"/>
    <row r="308" s="57" customFormat="1" ht="15.75" customHeight="1" x14ac:dyDescent="0.2"/>
    <row r="309" s="57" customFormat="1" ht="15.75" customHeight="1" x14ac:dyDescent="0.2"/>
    <row r="310" s="57" customFormat="1" ht="15.75" customHeight="1" x14ac:dyDescent="0.2"/>
    <row r="311" s="57" customFormat="1" ht="15.75" customHeight="1" x14ac:dyDescent="0.2"/>
    <row r="312" s="57" customFormat="1" ht="15.75" customHeight="1" x14ac:dyDescent="0.2"/>
    <row r="313" s="57" customFormat="1" ht="15.75" customHeight="1" x14ac:dyDescent="0.2"/>
    <row r="314" s="57" customFormat="1" ht="15.75" customHeight="1" x14ac:dyDescent="0.2"/>
    <row r="315" s="57" customFormat="1" ht="15.75" customHeight="1" x14ac:dyDescent="0.2"/>
    <row r="316" s="57" customFormat="1" ht="15.75" customHeight="1" x14ac:dyDescent="0.2"/>
    <row r="317" s="57" customFormat="1" ht="15.75" customHeight="1" x14ac:dyDescent="0.2"/>
    <row r="318" s="57" customFormat="1" ht="15.75" customHeight="1" x14ac:dyDescent="0.2"/>
    <row r="319" s="57" customFormat="1" ht="15.75" customHeight="1" x14ac:dyDescent="0.2"/>
    <row r="320" s="57" customFormat="1" ht="15.75" customHeight="1" x14ac:dyDescent="0.2"/>
    <row r="321" s="57" customFormat="1" ht="15.75" customHeight="1" x14ac:dyDescent="0.2"/>
    <row r="322" s="57" customFormat="1" ht="15.75" customHeight="1" x14ac:dyDescent="0.2"/>
    <row r="323" s="57" customFormat="1" ht="15.75" customHeight="1" x14ac:dyDescent="0.2"/>
    <row r="324" s="57" customFormat="1" ht="15.75" customHeight="1" x14ac:dyDescent="0.2"/>
    <row r="325" s="57" customFormat="1" ht="15.75" customHeight="1" x14ac:dyDescent="0.2"/>
    <row r="326" s="57" customFormat="1" ht="15.75" customHeight="1" x14ac:dyDescent="0.2"/>
    <row r="327" s="57" customFormat="1" ht="15.75" customHeight="1" x14ac:dyDescent="0.2"/>
    <row r="328" s="57" customFormat="1" ht="15.75" customHeight="1" x14ac:dyDescent="0.2"/>
    <row r="329" s="57" customFormat="1" ht="15.75" customHeight="1" x14ac:dyDescent="0.2"/>
    <row r="330" s="57" customFormat="1" ht="15.75" customHeight="1" x14ac:dyDescent="0.2"/>
    <row r="331" s="57" customFormat="1" ht="15.75" customHeight="1" x14ac:dyDescent="0.2"/>
    <row r="332" s="57" customFormat="1" ht="15.75" customHeight="1" x14ac:dyDescent="0.2"/>
    <row r="333" s="57" customFormat="1" ht="15.75" customHeight="1" x14ac:dyDescent="0.2"/>
    <row r="334" s="57" customFormat="1" ht="15.75" customHeight="1" x14ac:dyDescent="0.2"/>
    <row r="335" s="57" customFormat="1" ht="15.75" customHeight="1" x14ac:dyDescent="0.2"/>
    <row r="336" s="57" customFormat="1" ht="15.75" customHeight="1" x14ac:dyDescent="0.2"/>
    <row r="337" s="57" customFormat="1" ht="15.75" customHeight="1" x14ac:dyDescent="0.2"/>
    <row r="338" s="57" customFormat="1" ht="15.75" customHeight="1" x14ac:dyDescent="0.2"/>
    <row r="339" s="57" customFormat="1" ht="15.75" customHeight="1" x14ac:dyDescent="0.2"/>
    <row r="340" s="57" customFormat="1" ht="15.75" customHeight="1" x14ac:dyDescent="0.2"/>
    <row r="341" s="57" customFormat="1" ht="15.75" customHeight="1" x14ac:dyDescent="0.2"/>
    <row r="342" s="57" customFormat="1" ht="15.75" customHeight="1" x14ac:dyDescent="0.2"/>
    <row r="343" s="57" customFormat="1" ht="15.75" customHeight="1" x14ac:dyDescent="0.2"/>
    <row r="344" s="57" customFormat="1" ht="15.75" customHeight="1" x14ac:dyDescent="0.2"/>
    <row r="345" s="57" customFormat="1" ht="15.75" customHeight="1" x14ac:dyDescent="0.2"/>
    <row r="346" s="57" customFormat="1" ht="15.75" customHeight="1" x14ac:dyDescent="0.2"/>
    <row r="347" s="57" customFormat="1" ht="15.75" customHeight="1" x14ac:dyDescent="0.2"/>
    <row r="348" s="57" customFormat="1" ht="15.75" customHeight="1" x14ac:dyDescent="0.2"/>
    <row r="349" s="57" customFormat="1" ht="15.75" customHeight="1" x14ac:dyDescent="0.2"/>
    <row r="350" s="57" customFormat="1" ht="15.75" customHeight="1" x14ac:dyDescent="0.2"/>
    <row r="351" s="57" customFormat="1" ht="15.75" customHeight="1" x14ac:dyDescent="0.2"/>
    <row r="352" s="57" customFormat="1" ht="15.75" customHeight="1" x14ac:dyDescent="0.2"/>
    <row r="353" s="57" customFormat="1" ht="15.75" customHeight="1" x14ac:dyDescent="0.2"/>
    <row r="354" s="57" customFormat="1" ht="15.75" customHeight="1" x14ac:dyDescent="0.2"/>
    <row r="355" s="57" customFormat="1" ht="15.75" customHeight="1" x14ac:dyDescent="0.2"/>
    <row r="356" s="57" customFormat="1" ht="15.75" customHeight="1" x14ac:dyDescent="0.2"/>
    <row r="357" s="57" customFormat="1" ht="15.75" customHeight="1" x14ac:dyDescent="0.2"/>
    <row r="358" s="57" customFormat="1" ht="15.75" customHeight="1" x14ac:dyDescent="0.2"/>
    <row r="359" s="57" customFormat="1" ht="15.75" customHeight="1" x14ac:dyDescent="0.2"/>
    <row r="360" s="57" customFormat="1" ht="15.75" customHeight="1" x14ac:dyDescent="0.2"/>
    <row r="361" s="57" customFormat="1" ht="15.75" customHeight="1" x14ac:dyDescent="0.2"/>
    <row r="362" s="57" customFormat="1" ht="15.75" customHeight="1" x14ac:dyDescent="0.2"/>
    <row r="363" s="57" customFormat="1" ht="15.75" customHeight="1" x14ac:dyDescent="0.2"/>
    <row r="364" s="57" customFormat="1" ht="15.75" customHeight="1" x14ac:dyDescent="0.2"/>
    <row r="365" s="57" customFormat="1" ht="15.75" customHeight="1" x14ac:dyDescent="0.2"/>
    <row r="366" s="57" customFormat="1" ht="15.75" customHeight="1" x14ac:dyDescent="0.2"/>
    <row r="367" s="57" customFormat="1" ht="15.75" customHeight="1" x14ac:dyDescent="0.2"/>
    <row r="368" s="57" customFormat="1" ht="15.75" customHeight="1" x14ac:dyDescent="0.2"/>
    <row r="369" s="57" customFormat="1" ht="15.75" customHeight="1" x14ac:dyDescent="0.2"/>
    <row r="370" s="57" customFormat="1" ht="15.75" customHeight="1" x14ac:dyDescent="0.2"/>
    <row r="371" s="57" customFormat="1" ht="15.75" customHeight="1" x14ac:dyDescent="0.2"/>
    <row r="372" s="57" customFormat="1" ht="15.75" customHeight="1" x14ac:dyDescent="0.2"/>
    <row r="373" s="57" customFormat="1" ht="15.75" customHeight="1" x14ac:dyDescent="0.2"/>
    <row r="374" s="57" customFormat="1" ht="15.75" customHeight="1" x14ac:dyDescent="0.2"/>
    <row r="375" s="57" customFormat="1" ht="15.75" customHeight="1" x14ac:dyDescent="0.2"/>
    <row r="376" s="57" customFormat="1" ht="15.75" customHeight="1" x14ac:dyDescent="0.2"/>
    <row r="377" s="57" customFormat="1" ht="15.75" customHeight="1" x14ac:dyDescent="0.2"/>
    <row r="378" s="57" customFormat="1" ht="15.75" customHeight="1" x14ac:dyDescent="0.2"/>
    <row r="379" s="57" customFormat="1" ht="15.75" customHeight="1" x14ac:dyDescent="0.2"/>
    <row r="380" s="57" customFormat="1" ht="15.75" customHeight="1" x14ac:dyDescent="0.2"/>
    <row r="381" s="57" customFormat="1" ht="15.75" customHeight="1" x14ac:dyDescent="0.2"/>
    <row r="382" s="57" customFormat="1" ht="15.75" customHeight="1" x14ac:dyDescent="0.2"/>
    <row r="383" s="57" customFormat="1" ht="15.75" customHeight="1" x14ac:dyDescent="0.2"/>
    <row r="384" s="57" customFormat="1" ht="15.75" customHeight="1" x14ac:dyDescent="0.2"/>
    <row r="385" s="57" customFormat="1" ht="15.75" customHeight="1" x14ac:dyDescent="0.2"/>
    <row r="386" s="57" customFormat="1" ht="15.75" customHeight="1" x14ac:dyDescent="0.2"/>
    <row r="387" s="57" customFormat="1" ht="15.75" customHeight="1" x14ac:dyDescent="0.2"/>
    <row r="388" s="57" customFormat="1" ht="15.75" customHeight="1" x14ac:dyDescent="0.2"/>
    <row r="389" s="57" customFormat="1" ht="15.75" customHeight="1" x14ac:dyDescent="0.2"/>
    <row r="390" s="57" customFormat="1" ht="15.75" customHeight="1" x14ac:dyDescent="0.2"/>
    <row r="391" s="57" customFormat="1" ht="15.75" customHeight="1" x14ac:dyDescent="0.2"/>
    <row r="392" s="57" customFormat="1" ht="15.75" customHeight="1" x14ac:dyDescent="0.2"/>
    <row r="393" s="57" customFormat="1" ht="15.75" customHeight="1" x14ac:dyDescent="0.2"/>
    <row r="394" s="57" customFormat="1" ht="15.75" customHeight="1" x14ac:dyDescent="0.2"/>
    <row r="395" s="57" customFormat="1" ht="15.75" customHeight="1" x14ac:dyDescent="0.2"/>
    <row r="396" s="57" customFormat="1" ht="15.75" customHeight="1" x14ac:dyDescent="0.2"/>
    <row r="397" s="57" customFormat="1" ht="15.75" customHeight="1" x14ac:dyDescent="0.2"/>
    <row r="398" s="57" customFormat="1" ht="15.75" customHeight="1" x14ac:dyDescent="0.2"/>
    <row r="399" s="57" customFormat="1" ht="15.75" customHeight="1" x14ac:dyDescent="0.2"/>
    <row r="400" s="57" customFormat="1" ht="15.75" customHeight="1" x14ac:dyDescent="0.2"/>
    <row r="401" s="57" customFormat="1" ht="15.75" customHeight="1" x14ac:dyDescent="0.2"/>
    <row r="402" s="57" customFormat="1" ht="15.75" customHeight="1" x14ac:dyDescent="0.2"/>
    <row r="403" s="57" customFormat="1" ht="15.75" customHeight="1" x14ac:dyDescent="0.2"/>
    <row r="404" s="57" customFormat="1" ht="15.75" customHeight="1" x14ac:dyDescent="0.2"/>
    <row r="405" s="57" customFormat="1" ht="15.75" customHeight="1" x14ac:dyDescent="0.2"/>
    <row r="406" s="57" customFormat="1" ht="15.75" customHeight="1" x14ac:dyDescent="0.2"/>
    <row r="407" s="57" customFormat="1" ht="15.75" customHeight="1" x14ac:dyDescent="0.2"/>
    <row r="408" s="57" customFormat="1" ht="15.75" customHeight="1" x14ac:dyDescent="0.2"/>
    <row r="409" s="57" customFormat="1" ht="15.75" customHeight="1" x14ac:dyDescent="0.2"/>
    <row r="410" s="57" customFormat="1" ht="15.75" customHeight="1" x14ac:dyDescent="0.2"/>
    <row r="411" s="57" customFormat="1" ht="15.75" customHeight="1" x14ac:dyDescent="0.2"/>
    <row r="412" s="57" customFormat="1" ht="15.75" customHeight="1" x14ac:dyDescent="0.2"/>
    <row r="413" s="57" customFormat="1" ht="15.75" customHeight="1" x14ac:dyDescent="0.2"/>
    <row r="414" s="57" customFormat="1" ht="15.75" customHeight="1" x14ac:dyDescent="0.2"/>
    <row r="415" s="57" customFormat="1" ht="15.75" customHeight="1" x14ac:dyDescent="0.2"/>
    <row r="416" s="57" customFormat="1" ht="15.75" customHeight="1" x14ac:dyDescent="0.2"/>
    <row r="417" s="57" customFormat="1" ht="15.75" customHeight="1" x14ac:dyDescent="0.2"/>
    <row r="418" s="57" customFormat="1" ht="15.75" customHeight="1" x14ac:dyDescent="0.2"/>
    <row r="419" s="57" customFormat="1" ht="15.75" customHeight="1" x14ac:dyDescent="0.2"/>
    <row r="420" s="57" customFormat="1" ht="15.75" customHeight="1" x14ac:dyDescent="0.2"/>
    <row r="421" s="57" customFormat="1" ht="15.75" customHeight="1" x14ac:dyDescent="0.2"/>
    <row r="422" s="57" customFormat="1" ht="15.75" customHeight="1" x14ac:dyDescent="0.2"/>
    <row r="423" s="57" customFormat="1" ht="15.75" customHeight="1" x14ac:dyDescent="0.2"/>
    <row r="424" s="57" customFormat="1" ht="15.75" customHeight="1" x14ac:dyDescent="0.2"/>
    <row r="425" s="57" customFormat="1" ht="15.75" customHeight="1" x14ac:dyDescent="0.2"/>
    <row r="426" s="57" customFormat="1" ht="15.75" customHeight="1" x14ac:dyDescent="0.2"/>
    <row r="427" s="57" customFormat="1" ht="15.75" customHeight="1" x14ac:dyDescent="0.2"/>
    <row r="428" s="57" customFormat="1" ht="15.75" customHeight="1" x14ac:dyDescent="0.2"/>
    <row r="429" s="57" customFormat="1" ht="15.75" customHeight="1" x14ac:dyDescent="0.2"/>
    <row r="430" s="57" customFormat="1" ht="15.75" customHeight="1" x14ac:dyDescent="0.2"/>
    <row r="431" s="57" customFormat="1" ht="15.75" customHeight="1" x14ac:dyDescent="0.2"/>
    <row r="432" s="57" customFormat="1" ht="15.75" customHeight="1" x14ac:dyDescent="0.2"/>
    <row r="433" s="57" customFormat="1" ht="15.75" customHeight="1" x14ac:dyDescent="0.2"/>
    <row r="434" s="57" customFormat="1" ht="15.75" customHeight="1" x14ac:dyDescent="0.2"/>
    <row r="435" s="57" customFormat="1" ht="15.75" customHeight="1" x14ac:dyDescent="0.2"/>
    <row r="436" s="57" customFormat="1" ht="15.75" customHeight="1" x14ac:dyDescent="0.2"/>
    <row r="437" s="57" customFormat="1" ht="15.75" customHeight="1" x14ac:dyDescent="0.2"/>
    <row r="438" s="57" customFormat="1" ht="15.75" customHeight="1" x14ac:dyDescent="0.2"/>
    <row r="439" s="57" customFormat="1" ht="15.75" customHeight="1" x14ac:dyDescent="0.2"/>
    <row r="440" s="57" customFormat="1" ht="15.75" customHeight="1" x14ac:dyDescent="0.2"/>
    <row r="441" s="57" customFormat="1" ht="15.75" customHeight="1" x14ac:dyDescent="0.2"/>
    <row r="442" s="57" customFormat="1" ht="15.75" customHeight="1" x14ac:dyDescent="0.2"/>
    <row r="443" s="57" customFormat="1" ht="15.75" customHeight="1" x14ac:dyDescent="0.2"/>
    <row r="444" s="57" customFormat="1" ht="15.75" customHeight="1" x14ac:dyDescent="0.2"/>
    <row r="445" s="57" customFormat="1" ht="15.75" customHeight="1" x14ac:dyDescent="0.2"/>
    <row r="446" s="57" customFormat="1" ht="15.75" customHeight="1" x14ac:dyDescent="0.2"/>
    <row r="447" s="57" customFormat="1" ht="15.75" customHeight="1" x14ac:dyDescent="0.2"/>
    <row r="448" s="57" customFormat="1" ht="15.75" customHeight="1" x14ac:dyDescent="0.2"/>
    <row r="449" s="57" customFormat="1" ht="15.75" customHeight="1" x14ac:dyDescent="0.2"/>
    <row r="450" s="57" customFormat="1" ht="15.75" customHeight="1" x14ac:dyDescent="0.2"/>
    <row r="451" s="57" customFormat="1" ht="15.75" customHeight="1" x14ac:dyDescent="0.2"/>
    <row r="452" s="57" customFormat="1" ht="15.75" customHeight="1" x14ac:dyDescent="0.2"/>
    <row r="453" s="57" customFormat="1" ht="15.75" customHeight="1" x14ac:dyDescent="0.2"/>
    <row r="454" s="57" customFormat="1" ht="15.75" customHeight="1" x14ac:dyDescent="0.2"/>
    <row r="455" s="57" customFormat="1" ht="15.75" customHeight="1" x14ac:dyDescent="0.2"/>
    <row r="456" s="57" customFormat="1" ht="15.75" customHeight="1" x14ac:dyDescent="0.2"/>
    <row r="457" s="57" customFormat="1" ht="15.75" customHeight="1" x14ac:dyDescent="0.2"/>
    <row r="458" s="57" customFormat="1" ht="15.75" customHeight="1" x14ac:dyDescent="0.2"/>
    <row r="459" s="57" customFormat="1" ht="15.75" customHeight="1" x14ac:dyDescent="0.2"/>
    <row r="460" s="57" customFormat="1" ht="15.75" customHeight="1" x14ac:dyDescent="0.2"/>
    <row r="461" s="57" customFormat="1" ht="15.75" customHeight="1" x14ac:dyDescent="0.2"/>
    <row r="462" s="57" customFormat="1" ht="15.75" customHeight="1" x14ac:dyDescent="0.2"/>
    <row r="463" s="57" customFormat="1" ht="15.75" customHeight="1" x14ac:dyDescent="0.2"/>
    <row r="464" s="57" customFormat="1" ht="15.75" customHeight="1" x14ac:dyDescent="0.2"/>
    <row r="465" s="57" customFormat="1" ht="15.75" customHeight="1" x14ac:dyDescent="0.2"/>
    <row r="466" s="57" customFormat="1" ht="15.75" customHeight="1" x14ac:dyDescent="0.2"/>
    <row r="467" s="57" customFormat="1" ht="15.75" customHeight="1" x14ac:dyDescent="0.2"/>
    <row r="468" s="57" customFormat="1" ht="15.75" customHeight="1" x14ac:dyDescent="0.2"/>
    <row r="469" s="57" customFormat="1" ht="15.75" customHeight="1" x14ac:dyDescent="0.2"/>
    <row r="470" s="57" customFormat="1" ht="15.75" customHeight="1" x14ac:dyDescent="0.2"/>
    <row r="471" s="57" customFormat="1" ht="15.75" customHeight="1" x14ac:dyDescent="0.2"/>
    <row r="472" s="57" customFormat="1" ht="15.75" customHeight="1" x14ac:dyDescent="0.2"/>
    <row r="473" s="57" customFormat="1" ht="15.75" customHeight="1" x14ac:dyDescent="0.2"/>
    <row r="474" s="57" customFormat="1" ht="15.75" customHeight="1" x14ac:dyDescent="0.2"/>
    <row r="475" s="57" customFormat="1" ht="15.75" customHeight="1" x14ac:dyDescent="0.2"/>
    <row r="476" s="57" customFormat="1" ht="15.75" customHeight="1" x14ac:dyDescent="0.2"/>
    <row r="477" s="57" customFormat="1" ht="15.75" customHeight="1" x14ac:dyDescent="0.2"/>
    <row r="478" s="57" customFormat="1" ht="15.75" customHeight="1" x14ac:dyDescent="0.2"/>
    <row r="479" s="57" customFormat="1" ht="15.75" customHeight="1" x14ac:dyDescent="0.2"/>
    <row r="480" s="57" customFormat="1" ht="15.75" customHeight="1" x14ac:dyDescent="0.2"/>
    <row r="481" s="57" customFormat="1" ht="15.75" customHeight="1" x14ac:dyDescent="0.2"/>
    <row r="482" s="57" customFormat="1" ht="15.75" customHeight="1" x14ac:dyDescent="0.2"/>
    <row r="483" s="57" customFormat="1" ht="15.75" customHeight="1" x14ac:dyDescent="0.2"/>
    <row r="484" s="57" customFormat="1" ht="15.75" customHeight="1" x14ac:dyDescent="0.2"/>
    <row r="485" s="57" customFormat="1" ht="15.75" customHeight="1" x14ac:dyDescent="0.2"/>
    <row r="486" s="57" customFormat="1" ht="15.75" customHeight="1" x14ac:dyDescent="0.2"/>
    <row r="487" s="57" customFormat="1" ht="15.75" customHeight="1" x14ac:dyDescent="0.2"/>
    <row r="488" s="57" customFormat="1" ht="15.75" customHeight="1" x14ac:dyDescent="0.2"/>
    <row r="489" s="57" customFormat="1" ht="15.75" customHeight="1" x14ac:dyDescent="0.2"/>
    <row r="490" s="57" customFormat="1" ht="15.75" customHeight="1" x14ac:dyDescent="0.2"/>
    <row r="491" s="57" customFormat="1" ht="15.75" customHeight="1" x14ac:dyDescent="0.2"/>
    <row r="492" s="57" customFormat="1" ht="15.75" customHeight="1" x14ac:dyDescent="0.2"/>
    <row r="493" s="57" customFormat="1" ht="15.75" customHeight="1" x14ac:dyDescent="0.2"/>
    <row r="494" s="57" customFormat="1" ht="15.75" customHeight="1" x14ac:dyDescent="0.2"/>
    <row r="495" s="57" customFormat="1" ht="15.75" customHeight="1" x14ac:dyDescent="0.2"/>
    <row r="496" s="57" customFormat="1" ht="15.75" customHeight="1" x14ac:dyDescent="0.2"/>
    <row r="497" s="57" customFormat="1" ht="15.75" customHeight="1" x14ac:dyDescent="0.2"/>
    <row r="498" s="57" customFormat="1" ht="15.75" customHeight="1" x14ac:dyDescent="0.2"/>
    <row r="499" s="57" customFormat="1" ht="15.75" customHeight="1" x14ac:dyDescent="0.2"/>
    <row r="500" s="57" customFormat="1" ht="15.75" customHeight="1" x14ac:dyDescent="0.2"/>
    <row r="501" s="57" customFormat="1" ht="15.75" customHeight="1" x14ac:dyDescent="0.2"/>
    <row r="502" s="57" customFormat="1" ht="15.75" customHeight="1" x14ac:dyDescent="0.2"/>
    <row r="503" s="57" customFormat="1" ht="15.75" customHeight="1" x14ac:dyDescent="0.2"/>
    <row r="504" s="57" customFormat="1" ht="15.75" customHeight="1" x14ac:dyDescent="0.2"/>
    <row r="505" s="57" customFormat="1" ht="15.75" customHeight="1" x14ac:dyDescent="0.2"/>
    <row r="506" s="57" customFormat="1" ht="15.75" customHeight="1" x14ac:dyDescent="0.2"/>
    <row r="507" s="57" customFormat="1" ht="15.75" customHeight="1" x14ac:dyDescent="0.2"/>
    <row r="508" s="57" customFormat="1" ht="15.75" customHeight="1" x14ac:dyDescent="0.2"/>
    <row r="509" s="57" customFormat="1" ht="15.75" customHeight="1" x14ac:dyDescent="0.2"/>
    <row r="510" s="57" customFormat="1" ht="15.75" customHeight="1" x14ac:dyDescent="0.2"/>
    <row r="511" s="57" customFormat="1" ht="15.75" customHeight="1" x14ac:dyDescent="0.2"/>
    <row r="512" s="57" customFormat="1" ht="15.75" customHeight="1" x14ac:dyDescent="0.2"/>
    <row r="513" s="57" customFormat="1" ht="15.75" customHeight="1" x14ac:dyDescent="0.2"/>
    <row r="514" s="57" customFormat="1" ht="15.75" customHeight="1" x14ac:dyDescent="0.2"/>
    <row r="515" s="57" customFormat="1" ht="15.75" customHeight="1" x14ac:dyDescent="0.2"/>
    <row r="516" s="57" customFormat="1" ht="15.75" customHeight="1" x14ac:dyDescent="0.2"/>
    <row r="517" s="57" customFormat="1" ht="15.75" customHeight="1" x14ac:dyDescent="0.2"/>
    <row r="518" s="57" customFormat="1" ht="15.75" customHeight="1" x14ac:dyDescent="0.2"/>
    <row r="519" s="57" customFormat="1" ht="15.75" customHeight="1" x14ac:dyDescent="0.2"/>
    <row r="520" s="57" customFormat="1" ht="15.75" customHeight="1" x14ac:dyDescent="0.2"/>
    <row r="521" s="57" customFormat="1" ht="15.75" customHeight="1" x14ac:dyDescent="0.2"/>
    <row r="522" s="57" customFormat="1" ht="15.75" customHeight="1" x14ac:dyDescent="0.2"/>
    <row r="523" s="57" customFormat="1" ht="15.75" customHeight="1" x14ac:dyDescent="0.2"/>
    <row r="524" s="57" customFormat="1" ht="15.75" customHeight="1" x14ac:dyDescent="0.2"/>
    <row r="525" s="57" customFormat="1" ht="15.75" customHeight="1" x14ac:dyDescent="0.2"/>
    <row r="526" s="57" customFormat="1" ht="15.75" customHeight="1" x14ac:dyDescent="0.2"/>
    <row r="527" s="57" customFormat="1" ht="15.75" customHeight="1" x14ac:dyDescent="0.2"/>
    <row r="528" s="57" customFormat="1" ht="15.75" customHeight="1" x14ac:dyDescent="0.2"/>
    <row r="529" s="57" customFormat="1" ht="15.75" customHeight="1" x14ac:dyDescent="0.2"/>
    <row r="530" s="57" customFormat="1" ht="15.75" customHeight="1" x14ac:dyDescent="0.2"/>
    <row r="531" s="57" customFormat="1" ht="15.75" customHeight="1" x14ac:dyDescent="0.2"/>
    <row r="532" s="57" customFormat="1" ht="15.75" customHeight="1" x14ac:dyDescent="0.2"/>
    <row r="533" s="57" customFormat="1" ht="15.75" customHeight="1" x14ac:dyDescent="0.2"/>
    <row r="534" s="57" customFormat="1" ht="15.75" customHeight="1" x14ac:dyDescent="0.2"/>
    <row r="535" s="57" customFormat="1" ht="15.75" customHeight="1" x14ac:dyDescent="0.2"/>
    <row r="536" s="57" customFormat="1" ht="15.75" customHeight="1" x14ac:dyDescent="0.2"/>
    <row r="537" s="57" customFormat="1" ht="15.75" customHeight="1" x14ac:dyDescent="0.2"/>
    <row r="538" s="57" customFormat="1" ht="15.75" customHeight="1" x14ac:dyDescent="0.2"/>
    <row r="539" s="57" customFormat="1" ht="15.75" customHeight="1" x14ac:dyDescent="0.2"/>
    <row r="540" s="57" customFormat="1" ht="15.75" customHeight="1" x14ac:dyDescent="0.2"/>
    <row r="541" s="57" customFormat="1" ht="15.75" customHeight="1" x14ac:dyDescent="0.2"/>
    <row r="542" s="57" customFormat="1" ht="15.75" customHeight="1" x14ac:dyDescent="0.2"/>
    <row r="543" s="57" customFormat="1" ht="15.75" customHeight="1" x14ac:dyDescent="0.2"/>
    <row r="544" s="57" customFormat="1" ht="15.75" customHeight="1" x14ac:dyDescent="0.2"/>
    <row r="545" s="57" customFormat="1" ht="15.75" customHeight="1" x14ac:dyDescent="0.2"/>
    <row r="546" s="57" customFormat="1" ht="15.75" customHeight="1" x14ac:dyDescent="0.2"/>
    <row r="547" s="57" customFormat="1" ht="15.75" customHeight="1" x14ac:dyDescent="0.2"/>
    <row r="548" s="57" customFormat="1" ht="15.75" customHeight="1" x14ac:dyDescent="0.2"/>
    <row r="549" s="57" customFormat="1" ht="15.75" customHeight="1" x14ac:dyDescent="0.2"/>
    <row r="550" s="57" customFormat="1" ht="15.75" customHeight="1" x14ac:dyDescent="0.2"/>
    <row r="551" s="57" customFormat="1" ht="15.75" customHeight="1" x14ac:dyDescent="0.2"/>
    <row r="552" s="57" customFormat="1" ht="15.75" customHeight="1" x14ac:dyDescent="0.2"/>
    <row r="553" s="57" customFormat="1" ht="15.75" customHeight="1" x14ac:dyDescent="0.2"/>
    <row r="554" s="57" customFormat="1" ht="15.75" customHeight="1" x14ac:dyDescent="0.2"/>
    <row r="555" s="57" customFormat="1" ht="15.75" customHeight="1" x14ac:dyDescent="0.2"/>
    <row r="556" s="57" customFormat="1" ht="15.75" customHeight="1" x14ac:dyDescent="0.2"/>
    <row r="557" s="57" customFormat="1" ht="15.75" customHeight="1" x14ac:dyDescent="0.2"/>
    <row r="558" s="57" customFormat="1" ht="15.75" customHeight="1" x14ac:dyDescent="0.2"/>
    <row r="559" s="57" customFormat="1" ht="15.75" customHeight="1" x14ac:dyDescent="0.2"/>
    <row r="560" s="57" customFormat="1" ht="15.75" customHeight="1" x14ac:dyDescent="0.2"/>
    <row r="561" s="57" customFormat="1" ht="15.75" customHeight="1" x14ac:dyDescent="0.2"/>
    <row r="562" s="57" customFormat="1" ht="15.75" customHeight="1" x14ac:dyDescent="0.2"/>
    <row r="563" s="57" customFormat="1" ht="15.75" customHeight="1" x14ac:dyDescent="0.2"/>
    <row r="564" s="57" customFormat="1" ht="15.75" customHeight="1" x14ac:dyDescent="0.2"/>
    <row r="565" s="57" customFormat="1" ht="15.75" customHeight="1" x14ac:dyDescent="0.2"/>
    <row r="566" s="57" customFormat="1" ht="15.75" customHeight="1" x14ac:dyDescent="0.2"/>
    <row r="567" s="57" customFormat="1" ht="15.75" customHeight="1" x14ac:dyDescent="0.2"/>
    <row r="568" s="57" customFormat="1" ht="15.75" customHeight="1" x14ac:dyDescent="0.2"/>
    <row r="569" s="57" customFormat="1" ht="15.75" customHeight="1" x14ac:dyDescent="0.2"/>
    <row r="570" s="57" customFormat="1" ht="15.75" customHeight="1" x14ac:dyDescent="0.2"/>
    <row r="571" s="57" customFormat="1" ht="15.75" customHeight="1" x14ac:dyDescent="0.2"/>
    <row r="572" s="57" customFormat="1" ht="15.75" customHeight="1" x14ac:dyDescent="0.2"/>
    <row r="573" s="57" customFormat="1" ht="15.75" customHeight="1" x14ac:dyDescent="0.2"/>
    <row r="574" s="57" customFormat="1" ht="15.75" customHeight="1" x14ac:dyDescent="0.2"/>
    <row r="575" s="57" customFormat="1" ht="15.75" customHeight="1" x14ac:dyDescent="0.2"/>
    <row r="576" s="57" customFormat="1" ht="15.75" customHeight="1" x14ac:dyDescent="0.2"/>
    <row r="577" s="57" customFormat="1" ht="15.75" customHeight="1" x14ac:dyDescent="0.2"/>
    <row r="578" s="57" customFormat="1" ht="15.75" customHeight="1" x14ac:dyDescent="0.2"/>
    <row r="579" s="57" customFormat="1" ht="15.75" customHeight="1" x14ac:dyDescent="0.2"/>
    <row r="580" s="57" customFormat="1" ht="15.75" customHeight="1" x14ac:dyDescent="0.2"/>
    <row r="581" s="57" customFormat="1" ht="15.75" customHeight="1" x14ac:dyDescent="0.2"/>
    <row r="582" s="57" customFormat="1" ht="15.75" customHeight="1" x14ac:dyDescent="0.2"/>
    <row r="583" s="57" customFormat="1" ht="15.75" customHeight="1" x14ac:dyDescent="0.2"/>
    <row r="584" s="57" customFormat="1" ht="15.75" customHeight="1" x14ac:dyDescent="0.2"/>
    <row r="585" s="57" customFormat="1" ht="15.75" customHeight="1" x14ac:dyDescent="0.2"/>
    <row r="586" s="57" customFormat="1" ht="15.75" customHeight="1" x14ac:dyDescent="0.2"/>
    <row r="587" s="57" customFormat="1" ht="15.75" customHeight="1" x14ac:dyDescent="0.2"/>
    <row r="588" s="57" customFormat="1" ht="15.75" customHeight="1" x14ac:dyDescent="0.2"/>
    <row r="589" s="57" customFormat="1" ht="15.75" customHeight="1" x14ac:dyDescent="0.2"/>
    <row r="590" s="57" customFormat="1" ht="15.75" customHeight="1" x14ac:dyDescent="0.2"/>
    <row r="591" s="57" customFormat="1" ht="15.75" customHeight="1" x14ac:dyDescent="0.2"/>
    <row r="592" s="57" customFormat="1" ht="15.75" customHeight="1" x14ac:dyDescent="0.2"/>
    <row r="593" s="57" customFormat="1" ht="15.75" customHeight="1" x14ac:dyDescent="0.2"/>
    <row r="594" s="57" customFormat="1" ht="15.75" customHeight="1" x14ac:dyDescent="0.2"/>
    <row r="595" s="57" customFormat="1" ht="15.75" customHeight="1" x14ac:dyDescent="0.2"/>
    <row r="596" s="57" customFormat="1" ht="15.75" customHeight="1" x14ac:dyDescent="0.2"/>
    <row r="597" s="57" customFormat="1" ht="15.75" customHeight="1" x14ac:dyDescent="0.2"/>
    <row r="598" s="57" customFormat="1" ht="15.75" customHeight="1" x14ac:dyDescent="0.2"/>
    <row r="599" s="57" customFormat="1" ht="15.75" customHeight="1" x14ac:dyDescent="0.2"/>
    <row r="600" s="57" customFormat="1" ht="15.75" customHeight="1" x14ac:dyDescent="0.2"/>
    <row r="601" s="57" customFormat="1" ht="15.75" customHeight="1" x14ac:dyDescent="0.2"/>
    <row r="602" s="57" customFormat="1" ht="15.75" customHeight="1" x14ac:dyDescent="0.2"/>
    <row r="603" s="57" customFormat="1" ht="15.75" customHeight="1" x14ac:dyDescent="0.2"/>
    <row r="604" s="57" customFormat="1" ht="15.75" customHeight="1" x14ac:dyDescent="0.2"/>
    <row r="605" s="57" customFormat="1" ht="15.75" customHeight="1" x14ac:dyDescent="0.2"/>
    <row r="606" s="57" customFormat="1" ht="15.75" customHeight="1" x14ac:dyDescent="0.2"/>
    <row r="607" s="57" customFormat="1" ht="15.75" customHeight="1" x14ac:dyDescent="0.2"/>
    <row r="608" s="57" customFormat="1" ht="15.75" customHeight="1" x14ac:dyDescent="0.2"/>
    <row r="609" s="57" customFormat="1" ht="15.75" customHeight="1" x14ac:dyDescent="0.2"/>
    <row r="610" s="57" customFormat="1" ht="15.75" customHeight="1" x14ac:dyDescent="0.2"/>
    <row r="611" s="57" customFormat="1" ht="15.75" customHeight="1" x14ac:dyDescent="0.2"/>
    <row r="612" s="57" customFormat="1" ht="15.75" customHeight="1" x14ac:dyDescent="0.2"/>
    <row r="613" s="57" customFormat="1" ht="15.75" customHeight="1" x14ac:dyDescent="0.2"/>
    <row r="614" s="57" customFormat="1" ht="15.75" customHeight="1" x14ac:dyDescent="0.2"/>
    <row r="615" s="57" customFormat="1" ht="15.75" customHeight="1" x14ac:dyDescent="0.2"/>
    <row r="616" s="57" customFormat="1" ht="15.75" customHeight="1" x14ac:dyDescent="0.2"/>
    <row r="617" s="57" customFormat="1" ht="15.75" customHeight="1" x14ac:dyDescent="0.2"/>
    <row r="618" s="57" customFormat="1" ht="15.75" customHeight="1" x14ac:dyDescent="0.2"/>
    <row r="619" s="57" customFormat="1" ht="15.75" customHeight="1" x14ac:dyDescent="0.2"/>
    <row r="620" s="57" customFormat="1" ht="15.75" customHeight="1" x14ac:dyDescent="0.2"/>
    <row r="621" s="57" customFormat="1" ht="15.75" customHeight="1" x14ac:dyDescent="0.2"/>
    <row r="622" s="57" customFormat="1" ht="15.75" customHeight="1" x14ac:dyDescent="0.2"/>
    <row r="623" s="57" customFormat="1" ht="15.75" customHeight="1" x14ac:dyDescent="0.2"/>
    <row r="624" s="57" customFormat="1" ht="15.75" customHeight="1" x14ac:dyDescent="0.2"/>
    <row r="625" s="57" customFormat="1" ht="15.75" customHeight="1" x14ac:dyDescent="0.2"/>
    <row r="626" s="57" customFormat="1" ht="15.75" customHeight="1" x14ac:dyDescent="0.2"/>
    <row r="627" s="57" customFormat="1" ht="15.75" customHeight="1" x14ac:dyDescent="0.2"/>
    <row r="628" s="57" customFormat="1" ht="15.75" customHeight="1" x14ac:dyDescent="0.2"/>
    <row r="629" s="57" customFormat="1" ht="15.75" customHeight="1" x14ac:dyDescent="0.2"/>
    <row r="630" s="57" customFormat="1" ht="15.75" customHeight="1" x14ac:dyDescent="0.2"/>
    <row r="631" s="57" customFormat="1" ht="15.75" customHeight="1" x14ac:dyDescent="0.2"/>
    <row r="632" s="57" customFormat="1" ht="15.75" customHeight="1" x14ac:dyDescent="0.2"/>
    <row r="633" s="57" customFormat="1" ht="15.75" customHeight="1" x14ac:dyDescent="0.2"/>
    <row r="634" s="57" customFormat="1" ht="15.75" customHeight="1" x14ac:dyDescent="0.2"/>
    <row r="635" s="57" customFormat="1" ht="15.75" customHeight="1" x14ac:dyDescent="0.2"/>
    <row r="636" s="57" customFormat="1" ht="15.75" customHeight="1" x14ac:dyDescent="0.2"/>
    <row r="637" s="57" customFormat="1" ht="15.75" customHeight="1" x14ac:dyDescent="0.2"/>
    <row r="638" s="57" customFormat="1" ht="15.75" customHeight="1" x14ac:dyDescent="0.2"/>
    <row r="639" s="57" customFormat="1" ht="15.75" customHeight="1" x14ac:dyDescent="0.2"/>
    <row r="640" s="57" customFormat="1" ht="15.75" customHeight="1" x14ac:dyDescent="0.2"/>
    <row r="641" s="57" customFormat="1" ht="15.75" customHeight="1" x14ac:dyDescent="0.2"/>
    <row r="642" s="57" customFormat="1" ht="15.75" customHeight="1" x14ac:dyDescent="0.2"/>
    <row r="643" s="57" customFormat="1" ht="15.75" customHeight="1" x14ac:dyDescent="0.2"/>
    <row r="644" s="57" customFormat="1" ht="15.75" customHeight="1" x14ac:dyDescent="0.2"/>
    <row r="645" s="57" customFormat="1" ht="15.75" customHeight="1" x14ac:dyDescent="0.2"/>
    <row r="646" s="57" customFormat="1" ht="15.75" customHeight="1" x14ac:dyDescent="0.2"/>
    <row r="647" s="57" customFormat="1" ht="15.75" customHeight="1" x14ac:dyDescent="0.2"/>
    <row r="648" s="57" customFormat="1" ht="15.75" customHeight="1" x14ac:dyDescent="0.2"/>
    <row r="649" s="57" customFormat="1" ht="15.75" customHeight="1" x14ac:dyDescent="0.2"/>
    <row r="650" s="57" customFormat="1" ht="15.75" customHeight="1" x14ac:dyDescent="0.2"/>
    <row r="651" s="57" customFormat="1" ht="15.75" customHeight="1" x14ac:dyDescent="0.2"/>
    <row r="652" s="57" customFormat="1" ht="15.75" customHeight="1" x14ac:dyDescent="0.2"/>
    <row r="653" s="57" customFormat="1" ht="15.75" customHeight="1" x14ac:dyDescent="0.2"/>
    <row r="654" s="57" customFormat="1" ht="15.75" customHeight="1" x14ac:dyDescent="0.2"/>
    <row r="655" s="57" customFormat="1" ht="15.75" customHeight="1" x14ac:dyDescent="0.2"/>
    <row r="656" s="57" customFormat="1" ht="15.75" customHeight="1" x14ac:dyDescent="0.2"/>
    <row r="657" s="57" customFormat="1" ht="15.75" customHeight="1" x14ac:dyDescent="0.2"/>
    <row r="658" s="57" customFormat="1" ht="15.75" customHeight="1" x14ac:dyDescent="0.2"/>
    <row r="659" s="57" customFormat="1" ht="15.75" customHeight="1" x14ac:dyDescent="0.2"/>
    <row r="660" s="57" customFormat="1" ht="15.75" customHeight="1" x14ac:dyDescent="0.2"/>
    <row r="661" s="57" customFormat="1" ht="15.75" customHeight="1" x14ac:dyDescent="0.2"/>
    <row r="662" s="57" customFormat="1" ht="15.75" customHeight="1" x14ac:dyDescent="0.2"/>
    <row r="663" s="57" customFormat="1" ht="15.75" customHeight="1" x14ac:dyDescent="0.2"/>
    <row r="664" s="57" customFormat="1" ht="15.75" customHeight="1" x14ac:dyDescent="0.2"/>
    <row r="665" s="57" customFormat="1" ht="15.75" customHeight="1" x14ac:dyDescent="0.2"/>
    <row r="666" s="57" customFormat="1" ht="15.75" customHeight="1" x14ac:dyDescent="0.2"/>
    <row r="667" s="57" customFormat="1" ht="15.75" customHeight="1" x14ac:dyDescent="0.2"/>
    <row r="668" s="57" customFormat="1" ht="15.75" customHeight="1" x14ac:dyDescent="0.2"/>
    <row r="669" s="57" customFormat="1" ht="15.75" customHeight="1" x14ac:dyDescent="0.2"/>
    <row r="670" s="57" customFormat="1" ht="15.75" customHeight="1" x14ac:dyDescent="0.2"/>
    <row r="671" s="57" customFormat="1" ht="15.75" customHeight="1" x14ac:dyDescent="0.2"/>
    <row r="672" s="57" customFormat="1" ht="15.75" customHeight="1" x14ac:dyDescent="0.2"/>
    <row r="673" s="57" customFormat="1" ht="15.75" customHeight="1" x14ac:dyDescent="0.2"/>
    <row r="674" s="57" customFormat="1" ht="15.75" customHeight="1" x14ac:dyDescent="0.2"/>
    <row r="675" s="57" customFormat="1" ht="15.75" customHeight="1" x14ac:dyDescent="0.2"/>
    <row r="676" s="57" customFormat="1" ht="15.75" customHeight="1" x14ac:dyDescent="0.2"/>
    <row r="677" s="57" customFormat="1" ht="15.75" customHeight="1" x14ac:dyDescent="0.2"/>
    <row r="678" s="57" customFormat="1" ht="15.75" customHeight="1" x14ac:dyDescent="0.2"/>
    <row r="679" s="57" customFormat="1" ht="15.75" customHeight="1" x14ac:dyDescent="0.2"/>
    <row r="680" s="57" customFormat="1" ht="15.75" customHeight="1" x14ac:dyDescent="0.2"/>
    <row r="681" s="57" customFormat="1" ht="15.75" customHeight="1" x14ac:dyDescent="0.2"/>
    <row r="682" s="57" customFormat="1" ht="15.75" customHeight="1" x14ac:dyDescent="0.2"/>
    <row r="683" s="57" customFormat="1" ht="15.75" customHeight="1" x14ac:dyDescent="0.2"/>
    <row r="684" s="57" customFormat="1" ht="15.75" customHeight="1" x14ac:dyDescent="0.2"/>
    <row r="685" s="57" customFormat="1" ht="15.75" customHeight="1" x14ac:dyDescent="0.2"/>
    <row r="686" s="57" customFormat="1" ht="15.75" customHeight="1" x14ac:dyDescent="0.2"/>
    <row r="687" s="57" customFormat="1" ht="15.75" customHeight="1" x14ac:dyDescent="0.2"/>
    <row r="688" s="57" customFormat="1" ht="15.75" customHeight="1" x14ac:dyDescent="0.2"/>
    <row r="689" s="57" customFormat="1" ht="15.75" customHeight="1" x14ac:dyDescent="0.2"/>
    <row r="690" s="57" customFormat="1" ht="15.75" customHeight="1" x14ac:dyDescent="0.2"/>
    <row r="691" s="57" customFormat="1" ht="15.75" customHeight="1" x14ac:dyDescent="0.2"/>
    <row r="692" s="57" customFormat="1" ht="15.75" customHeight="1" x14ac:dyDescent="0.2"/>
    <row r="693" s="57" customFormat="1" ht="15.75" customHeight="1" x14ac:dyDescent="0.2"/>
    <row r="694" s="57" customFormat="1" ht="15.75" customHeight="1" x14ac:dyDescent="0.2"/>
    <row r="695" s="57" customFormat="1" ht="15.75" customHeight="1" x14ac:dyDescent="0.2"/>
    <row r="696" s="57" customFormat="1" ht="15.75" customHeight="1" x14ac:dyDescent="0.2"/>
    <row r="697" s="57" customFormat="1" ht="15.75" customHeight="1" x14ac:dyDescent="0.2"/>
    <row r="698" s="57" customFormat="1" ht="15.75" customHeight="1" x14ac:dyDescent="0.2"/>
    <row r="699" s="57" customFormat="1" ht="15.75" customHeight="1" x14ac:dyDescent="0.2"/>
    <row r="700" s="57" customFormat="1" ht="15.75" customHeight="1" x14ac:dyDescent="0.2"/>
    <row r="701" s="57" customFormat="1" ht="15.75" customHeight="1" x14ac:dyDescent="0.2"/>
    <row r="702" s="57" customFormat="1" ht="15.75" customHeight="1" x14ac:dyDescent="0.2"/>
    <row r="703" s="57" customFormat="1" ht="15.75" customHeight="1" x14ac:dyDescent="0.2"/>
    <row r="704" s="57" customFormat="1" ht="15.75" customHeight="1" x14ac:dyDescent="0.2"/>
    <row r="705" s="57" customFormat="1" ht="15.75" customHeight="1" x14ac:dyDescent="0.2"/>
    <row r="706" s="57" customFormat="1" ht="15.75" customHeight="1" x14ac:dyDescent="0.2"/>
    <row r="707" s="57" customFormat="1" ht="15.75" customHeight="1" x14ac:dyDescent="0.2"/>
    <row r="708" s="57" customFormat="1" ht="15.75" customHeight="1" x14ac:dyDescent="0.2"/>
    <row r="709" s="57" customFormat="1" ht="15.75" customHeight="1" x14ac:dyDescent="0.2"/>
    <row r="710" s="57" customFormat="1" ht="15.75" customHeight="1" x14ac:dyDescent="0.2"/>
    <row r="711" s="57" customFormat="1" ht="15.75" customHeight="1" x14ac:dyDescent="0.2"/>
    <row r="712" s="57" customFormat="1" ht="15.75" customHeight="1" x14ac:dyDescent="0.2"/>
    <row r="713" s="57" customFormat="1" ht="15.75" customHeight="1" x14ac:dyDescent="0.2"/>
    <row r="714" s="57" customFormat="1" ht="15.75" customHeight="1" x14ac:dyDescent="0.2"/>
    <row r="715" s="57" customFormat="1" ht="15.75" customHeight="1" x14ac:dyDescent="0.2"/>
    <row r="716" s="57" customFormat="1" ht="15.75" customHeight="1" x14ac:dyDescent="0.2"/>
    <row r="717" s="57" customFormat="1" ht="15.75" customHeight="1" x14ac:dyDescent="0.2"/>
    <row r="718" s="57" customFormat="1" ht="15.75" customHeight="1" x14ac:dyDescent="0.2"/>
    <row r="719" s="57" customFormat="1" ht="15.75" customHeight="1" x14ac:dyDescent="0.2"/>
    <row r="720" s="57" customFormat="1" ht="15.75" customHeight="1" x14ac:dyDescent="0.2"/>
    <row r="721" s="57" customFormat="1" ht="15.75" customHeight="1" x14ac:dyDescent="0.2"/>
    <row r="722" s="57" customFormat="1" ht="15.75" customHeight="1" x14ac:dyDescent="0.2"/>
    <row r="723" s="57" customFormat="1" ht="15.75" customHeight="1" x14ac:dyDescent="0.2"/>
    <row r="724" s="57" customFormat="1" ht="15.75" customHeight="1" x14ac:dyDescent="0.2"/>
    <row r="725" s="57" customFormat="1" ht="15.75" customHeight="1" x14ac:dyDescent="0.2"/>
    <row r="726" s="57" customFormat="1" ht="15.75" customHeight="1" x14ac:dyDescent="0.2"/>
    <row r="727" s="57" customFormat="1" ht="15.75" customHeight="1" x14ac:dyDescent="0.2"/>
    <row r="728" s="57" customFormat="1" ht="15.75" customHeight="1" x14ac:dyDescent="0.2"/>
    <row r="729" s="57" customFormat="1" ht="15.75" customHeight="1" x14ac:dyDescent="0.2"/>
    <row r="730" s="57" customFormat="1" ht="15.75" customHeight="1" x14ac:dyDescent="0.2"/>
    <row r="731" s="57" customFormat="1" ht="15.75" customHeight="1" x14ac:dyDescent="0.2"/>
    <row r="732" s="57" customFormat="1" ht="15.75" customHeight="1" x14ac:dyDescent="0.2"/>
    <row r="733" s="57" customFormat="1" ht="15.75" customHeight="1" x14ac:dyDescent="0.2"/>
    <row r="734" s="57" customFormat="1" ht="15.75" customHeight="1" x14ac:dyDescent="0.2"/>
    <row r="735" s="57" customFormat="1" ht="15.75" customHeight="1" x14ac:dyDescent="0.2"/>
    <row r="736" s="57" customFormat="1" ht="15.75" customHeight="1" x14ac:dyDescent="0.2"/>
    <row r="737" s="57" customFormat="1" ht="15.75" customHeight="1" x14ac:dyDescent="0.2"/>
    <row r="738" s="57" customFormat="1" ht="15.75" customHeight="1" x14ac:dyDescent="0.2"/>
    <row r="739" s="57" customFormat="1" ht="15.75" customHeight="1" x14ac:dyDescent="0.2"/>
    <row r="740" s="57" customFormat="1" ht="15.75" customHeight="1" x14ac:dyDescent="0.2"/>
    <row r="741" s="57" customFormat="1" ht="15.75" customHeight="1" x14ac:dyDescent="0.2"/>
    <row r="742" s="57" customFormat="1" ht="15.75" customHeight="1" x14ac:dyDescent="0.2"/>
    <row r="743" s="57" customFormat="1" ht="15.75" customHeight="1" x14ac:dyDescent="0.2"/>
    <row r="744" s="57" customFormat="1" ht="15.75" customHeight="1" x14ac:dyDescent="0.2"/>
    <row r="745" s="57" customFormat="1" ht="15.75" customHeight="1" x14ac:dyDescent="0.2"/>
    <row r="746" s="57" customFormat="1" ht="15.75" customHeight="1" x14ac:dyDescent="0.2"/>
    <row r="747" s="57" customFormat="1" ht="15.75" customHeight="1" x14ac:dyDescent="0.2"/>
    <row r="748" s="57" customFormat="1" ht="15.75" customHeight="1" x14ac:dyDescent="0.2"/>
    <row r="749" s="57" customFormat="1" ht="15.75" customHeight="1" x14ac:dyDescent="0.2"/>
    <row r="750" s="57" customFormat="1" ht="15.75" customHeight="1" x14ac:dyDescent="0.2"/>
    <row r="751" s="57" customFormat="1" ht="15.75" customHeight="1" x14ac:dyDescent="0.2"/>
    <row r="752" s="57" customFormat="1" ht="15.75" customHeight="1" x14ac:dyDescent="0.2"/>
    <row r="753" s="57" customFormat="1" ht="15.75" customHeight="1" x14ac:dyDescent="0.2"/>
    <row r="754" s="57" customFormat="1" ht="15.75" customHeight="1" x14ac:dyDescent="0.2"/>
    <row r="755" s="57" customFormat="1" ht="15.75" customHeight="1" x14ac:dyDescent="0.2"/>
    <row r="756" s="57" customFormat="1" ht="15.75" customHeight="1" x14ac:dyDescent="0.2"/>
    <row r="757" s="57" customFormat="1" ht="15.75" customHeight="1" x14ac:dyDescent="0.2"/>
    <row r="758" s="57" customFormat="1" ht="15.75" customHeight="1" x14ac:dyDescent="0.2"/>
    <row r="759" s="57" customFormat="1" ht="15.75" customHeight="1" x14ac:dyDescent="0.2"/>
    <row r="760" s="57" customFormat="1" ht="15.75" customHeight="1" x14ac:dyDescent="0.2"/>
    <row r="761" s="57" customFormat="1" ht="15.75" customHeight="1" x14ac:dyDescent="0.2"/>
    <row r="762" s="57" customFormat="1" ht="15.75" customHeight="1" x14ac:dyDescent="0.2"/>
    <row r="763" s="57" customFormat="1" ht="15.75" customHeight="1" x14ac:dyDescent="0.2"/>
    <row r="764" s="57" customFormat="1" ht="15.75" customHeight="1" x14ac:dyDescent="0.2"/>
    <row r="765" s="57" customFormat="1" ht="15.75" customHeight="1" x14ac:dyDescent="0.2"/>
    <row r="766" s="57" customFormat="1" ht="15.75" customHeight="1" x14ac:dyDescent="0.2"/>
    <row r="767" s="57" customFormat="1" ht="15.75" customHeight="1" x14ac:dyDescent="0.2"/>
    <row r="768" s="57" customFormat="1" ht="15.75" customHeight="1" x14ac:dyDescent="0.2"/>
    <row r="769" s="57" customFormat="1" ht="15.75" customHeight="1" x14ac:dyDescent="0.2"/>
    <row r="770" s="57" customFormat="1" ht="15.75" customHeight="1" x14ac:dyDescent="0.2"/>
    <row r="771" s="57" customFormat="1" ht="15.75" customHeight="1" x14ac:dyDescent="0.2"/>
    <row r="772" s="57" customFormat="1" ht="15.75" customHeight="1" x14ac:dyDescent="0.2"/>
    <row r="773" s="57" customFormat="1" ht="15.75" customHeight="1" x14ac:dyDescent="0.2"/>
    <row r="774" s="57" customFormat="1" ht="15.75" customHeight="1" x14ac:dyDescent="0.2"/>
    <row r="775" s="57" customFormat="1" ht="15.75" customHeight="1" x14ac:dyDescent="0.2"/>
    <row r="776" s="57" customFormat="1" ht="15.75" customHeight="1" x14ac:dyDescent="0.2"/>
    <row r="777" s="57" customFormat="1" ht="15.75" customHeight="1" x14ac:dyDescent="0.2"/>
    <row r="778" s="57" customFormat="1" ht="15.75" customHeight="1" x14ac:dyDescent="0.2"/>
    <row r="779" s="57" customFormat="1" ht="15.75" customHeight="1" x14ac:dyDescent="0.2"/>
    <row r="780" s="57" customFormat="1" ht="15.75" customHeight="1" x14ac:dyDescent="0.2"/>
    <row r="781" s="57" customFormat="1" ht="15.75" customHeight="1" x14ac:dyDescent="0.2"/>
    <row r="782" s="57" customFormat="1" ht="15.75" customHeight="1" x14ac:dyDescent="0.2"/>
    <row r="783" s="57" customFormat="1" ht="15.75" customHeight="1" x14ac:dyDescent="0.2"/>
    <row r="784" s="57" customFormat="1" ht="15.75" customHeight="1" x14ac:dyDescent="0.2"/>
    <row r="785" s="57" customFormat="1" ht="15.75" customHeight="1" x14ac:dyDescent="0.2"/>
    <row r="786" s="57" customFormat="1" ht="15.75" customHeight="1" x14ac:dyDescent="0.2"/>
    <row r="787" s="57" customFormat="1" ht="15.75" customHeight="1" x14ac:dyDescent="0.2"/>
    <row r="788" s="57" customFormat="1" ht="15.75" customHeight="1" x14ac:dyDescent="0.2"/>
    <row r="789" s="57" customFormat="1" ht="15.75" customHeight="1" x14ac:dyDescent="0.2"/>
    <row r="790" s="57" customFormat="1" ht="15.75" customHeight="1" x14ac:dyDescent="0.2"/>
    <row r="791" s="57" customFormat="1" ht="15.75" customHeight="1" x14ac:dyDescent="0.2"/>
    <row r="792" s="57" customFormat="1" ht="15.75" customHeight="1" x14ac:dyDescent="0.2"/>
    <row r="793" s="57" customFormat="1" ht="15.75" customHeight="1" x14ac:dyDescent="0.2"/>
    <row r="794" s="57" customFormat="1" ht="15.75" customHeight="1" x14ac:dyDescent="0.2"/>
    <row r="795" s="57" customFormat="1" ht="15.75" customHeight="1" x14ac:dyDescent="0.2"/>
    <row r="796" s="57" customFormat="1" ht="15.75" customHeight="1" x14ac:dyDescent="0.2"/>
    <row r="797" s="57" customFormat="1" ht="15.75" customHeight="1" x14ac:dyDescent="0.2"/>
    <row r="798" s="57" customFormat="1" ht="15.75" customHeight="1" x14ac:dyDescent="0.2"/>
    <row r="799" s="57" customFormat="1" ht="15.75" customHeight="1" x14ac:dyDescent="0.2"/>
    <row r="800" s="57" customFormat="1" ht="15.75" customHeight="1" x14ac:dyDescent="0.2"/>
    <row r="801" s="57" customFormat="1" ht="15.75" customHeight="1" x14ac:dyDescent="0.2"/>
    <row r="802" s="57" customFormat="1" ht="15.75" customHeight="1" x14ac:dyDescent="0.2"/>
    <row r="803" s="57" customFormat="1" ht="15.75" customHeight="1" x14ac:dyDescent="0.2"/>
    <row r="804" s="57" customFormat="1" ht="15.75" customHeight="1" x14ac:dyDescent="0.2"/>
    <row r="805" s="57" customFormat="1" ht="15.75" customHeight="1" x14ac:dyDescent="0.2"/>
    <row r="806" s="57" customFormat="1" ht="15.75" customHeight="1" x14ac:dyDescent="0.2"/>
    <row r="807" s="57" customFormat="1" ht="15.75" customHeight="1" x14ac:dyDescent="0.2"/>
    <row r="808" s="57" customFormat="1" ht="15.75" customHeight="1" x14ac:dyDescent="0.2"/>
    <row r="809" s="57" customFormat="1" ht="15.75" customHeight="1" x14ac:dyDescent="0.2"/>
    <row r="810" s="57" customFormat="1" ht="15.75" customHeight="1" x14ac:dyDescent="0.2"/>
    <row r="811" s="57" customFormat="1" ht="15.75" customHeight="1" x14ac:dyDescent="0.2"/>
    <row r="812" s="57" customFormat="1" ht="15.75" customHeight="1" x14ac:dyDescent="0.2"/>
    <row r="813" s="57" customFormat="1" ht="15.75" customHeight="1" x14ac:dyDescent="0.2"/>
    <row r="814" s="57" customFormat="1" ht="15.75" customHeight="1" x14ac:dyDescent="0.2"/>
    <row r="815" s="57" customFormat="1" ht="15.75" customHeight="1" x14ac:dyDescent="0.2"/>
    <row r="816" s="57" customFormat="1" ht="15.75" customHeight="1" x14ac:dyDescent="0.2"/>
    <row r="817" s="57" customFormat="1" ht="15.75" customHeight="1" x14ac:dyDescent="0.2"/>
    <row r="818" s="57" customFormat="1" ht="15.75" customHeight="1" x14ac:dyDescent="0.2"/>
    <row r="819" s="57" customFormat="1" ht="15.75" customHeight="1" x14ac:dyDescent="0.2"/>
    <row r="820" s="57" customFormat="1" ht="15.75" customHeight="1" x14ac:dyDescent="0.2"/>
    <row r="821" s="57" customFormat="1" ht="15.75" customHeight="1" x14ac:dyDescent="0.2"/>
    <row r="822" s="57" customFormat="1" ht="15.75" customHeight="1" x14ac:dyDescent="0.2"/>
    <row r="823" s="57" customFormat="1" ht="15.75" customHeight="1" x14ac:dyDescent="0.2"/>
    <row r="824" s="57" customFormat="1" ht="15.75" customHeight="1" x14ac:dyDescent="0.2"/>
    <row r="825" s="57" customFormat="1" ht="15.75" customHeight="1" x14ac:dyDescent="0.2"/>
    <row r="826" s="57" customFormat="1" ht="15.75" customHeight="1" x14ac:dyDescent="0.2"/>
    <row r="827" s="57" customFormat="1" ht="15.75" customHeight="1" x14ac:dyDescent="0.2"/>
    <row r="828" s="57" customFormat="1" ht="15.75" customHeight="1" x14ac:dyDescent="0.2"/>
    <row r="829" s="57" customFormat="1" ht="15.75" customHeight="1" x14ac:dyDescent="0.2"/>
    <row r="830" s="57" customFormat="1" ht="15.75" customHeight="1" x14ac:dyDescent="0.2"/>
    <row r="831" s="57" customFormat="1" ht="15.75" customHeight="1" x14ac:dyDescent="0.2"/>
    <row r="832" s="57" customFormat="1" ht="15.75" customHeight="1" x14ac:dyDescent="0.2"/>
    <row r="833" s="57" customFormat="1" ht="15.75" customHeight="1" x14ac:dyDescent="0.2"/>
    <row r="834" s="57" customFormat="1" ht="15.75" customHeight="1" x14ac:dyDescent="0.2"/>
    <row r="835" s="57" customFormat="1" ht="15.75" customHeight="1" x14ac:dyDescent="0.2"/>
    <row r="836" s="57" customFormat="1" ht="15.75" customHeight="1" x14ac:dyDescent="0.2"/>
    <row r="837" s="57" customFormat="1" ht="15.75" customHeight="1" x14ac:dyDescent="0.2"/>
    <row r="838" s="57" customFormat="1" ht="15.75" customHeight="1" x14ac:dyDescent="0.2"/>
    <row r="839" s="57" customFormat="1" ht="15.75" customHeight="1" x14ac:dyDescent="0.2"/>
    <row r="840" s="57" customFormat="1" ht="15.75" customHeight="1" x14ac:dyDescent="0.2"/>
    <row r="841" s="57" customFormat="1" ht="15.75" customHeight="1" x14ac:dyDescent="0.2"/>
    <row r="842" s="57" customFormat="1" ht="15.75" customHeight="1" x14ac:dyDescent="0.2"/>
    <row r="843" s="57" customFormat="1" ht="15.75" customHeight="1" x14ac:dyDescent="0.2"/>
    <row r="844" s="57" customFormat="1" ht="15.75" customHeight="1" x14ac:dyDescent="0.2"/>
    <row r="845" s="57" customFormat="1" ht="15.75" customHeight="1" x14ac:dyDescent="0.2"/>
    <row r="846" s="57" customFormat="1" ht="15.75" customHeight="1" x14ac:dyDescent="0.2"/>
    <row r="847" s="57" customFormat="1" ht="15.75" customHeight="1" x14ac:dyDescent="0.2"/>
    <row r="848" s="57" customFormat="1" ht="15.75" customHeight="1" x14ac:dyDescent="0.2"/>
    <row r="849" s="57" customFormat="1" ht="15.75" customHeight="1" x14ac:dyDescent="0.2"/>
    <row r="850" s="57" customFormat="1" ht="15.75" customHeight="1" x14ac:dyDescent="0.2"/>
    <row r="851" s="57" customFormat="1" ht="15.75" customHeight="1" x14ac:dyDescent="0.2"/>
    <row r="852" s="57" customFormat="1" ht="15.75" customHeight="1" x14ac:dyDescent="0.2"/>
    <row r="853" s="57" customFormat="1" ht="15.75" customHeight="1" x14ac:dyDescent="0.2"/>
    <row r="854" s="57" customFormat="1" ht="15.75" customHeight="1" x14ac:dyDescent="0.2"/>
    <row r="855" s="57" customFormat="1" ht="15.75" customHeight="1" x14ac:dyDescent="0.2"/>
    <row r="856" s="57" customFormat="1" ht="15.75" customHeight="1" x14ac:dyDescent="0.2"/>
    <row r="857" s="57" customFormat="1" ht="15.75" customHeight="1" x14ac:dyDescent="0.2"/>
    <row r="858" s="57" customFormat="1" ht="15.75" customHeight="1" x14ac:dyDescent="0.2"/>
    <row r="859" s="57" customFormat="1" ht="15.75" customHeight="1" x14ac:dyDescent="0.2"/>
    <row r="860" s="57" customFormat="1" ht="15.75" customHeight="1" x14ac:dyDescent="0.2"/>
    <row r="861" s="57" customFormat="1" ht="15.75" customHeight="1" x14ac:dyDescent="0.2"/>
    <row r="862" s="57" customFormat="1" ht="15.75" customHeight="1" x14ac:dyDescent="0.2"/>
    <row r="863" s="57" customFormat="1" ht="15.75" customHeight="1" x14ac:dyDescent="0.2"/>
    <row r="864" s="57" customFormat="1" ht="15.75" customHeight="1" x14ac:dyDescent="0.2"/>
    <row r="865" s="57" customFormat="1" ht="15.75" customHeight="1" x14ac:dyDescent="0.2"/>
    <row r="866" s="57" customFormat="1" ht="15.75" customHeight="1" x14ac:dyDescent="0.2"/>
    <row r="867" s="57" customFormat="1" ht="15.75" customHeight="1" x14ac:dyDescent="0.2"/>
    <row r="868" s="57" customFormat="1" ht="15.75" customHeight="1" x14ac:dyDescent="0.2"/>
    <row r="869" s="57" customFormat="1" ht="15.75" customHeight="1" x14ac:dyDescent="0.2"/>
    <row r="870" s="57" customFormat="1" ht="15.75" customHeight="1" x14ac:dyDescent="0.2"/>
    <row r="871" s="57" customFormat="1" ht="15.75" customHeight="1" x14ac:dyDescent="0.2"/>
    <row r="872" s="57" customFormat="1" ht="15.75" customHeight="1" x14ac:dyDescent="0.2"/>
    <row r="873" s="57" customFormat="1" ht="15.75" customHeight="1" x14ac:dyDescent="0.2"/>
    <row r="874" s="57" customFormat="1" ht="15.75" customHeight="1" x14ac:dyDescent="0.2"/>
    <row r="875" s="57" customFormat="1" ht="15.75" customHeight="1" x14ac:dyDescent="0.2"/>
    <row r="876" s="57" customFormat="1" ht="15.75" customHeight="1" x14ac:dyDescent="0.2"/>
    <row r="877" s="57" customFormat="1" ht="15.75" customHeight="1" x14ac:dyDescent="0.2"/>
    <row r="878" s="57" customFormat="1" ht="15.75" customHeight="1" x14ac:dyDescent="0.2"/>
    <row r="879" s="57" customFormat="1" ht="15.75" customHeight="1" x14ac:dyDescent="0.2"/>
    <row r="880" s="57" customFormat="1" ht="15.75" customHeight="1" x14ac:dyDescent="0.2"/>
    <row r="881" s="57" customFormat="1" ht="15.75" customHeight="1" x14ac:dyDescent="0.2"/>
    <row r="882" s="57" customFormat="1" ht="15.75" customHeight="1" x14ac:dyDescent="0.2"/>
    <row r="883" s="57" customFormat="1" ht="15.75" customHeight="1" x14ac:dyDescent="0.2"/>
    <row r="884" s="57" customFormat="1" ht="15.75" customHeight="1" x14ac:dyDescent="0.2"/>
    <row r="885" s="57" customFormat="1" ht="15.75" customHeight="1" x14ac:dyDescent="0.2"/>
    <row r="886" s="57" customFormat="1" ht="15.75" customHeight="1" x14ac:dyDescent="0.2"/>
    <row r="887" s="57" customFormat="1" ht="15.75" customHeight="1" x14ac:dyDescent="0.2"/>
    <row r="888" s="57" customFormat="1" ht="15.75" customHeight="1" x14ac:dyDescent="0.2"/>
    <row r="889" s="57" customFormat="1" ht="15.75" customHeight="1" x14ac:dyDescent="0.2"/>
    <row r="890" s="57" customFormat="1" ht="15.75" customHeight="1" x14ac:dyDescent="0.2"/>
    <row r="891" s="57" customFormat="1" ht="15.75" customHeight="1" x14ac:dyDescent="0.2"/>
    <row r="892" s="57" customFormat="1" ht="15.75" customHeight="1" x14ac:dyDescent="0.2"/>
    <row r="893" s="57" customFormat="1" ht="15.75" customHeight="1" x14ac:dyDescent="0.2"/>
    <row r="894" s="57" customFormat="1" ht="15.75" customHeight="1" x14ac:dyDescent="0.2"/>
    <row r="895" s="57" customFormat="1" ht="15.75" customHeight="1" x14ac:dyDescent="0.2"/>
    <row r="896" s="57" customFormat="1" ht="15.75" customHeight="1" x14ac:dyDescent="0.2"/>
    <row r="897" s="57" customFormat="1" ht="15.75" customHeight="1" x14ac:dyDescent="0.2"/>
    <row r="898" s="57" customFormat="1" ht="15.75" customHeight="1" x14ac:dyDescent="0.2"/>
    <row r="899" s="57" customFormat="1" ht="15.75" customHeight="1" x14ac:dyDescent="0.2"/>
    <row r="900" s="57" customFormat="1" ht="15.75" customHeight="1" x14ac:dyDescent="0.2"/>
    <row r="901" s="57" customFormat="1" ht="15.75" customHeight="1" x14ac:dyDescent="0.2"/>
    <row r="902" s="57" customFormat="1" ht="15.75" customHeight="1" x14ac:dyDescent="0.2"/>
    <row r="903" s="57" customFormat="1" ht="15.75" customHeight="1" x14ac:dyDescent="0.2"/>
    <row r="904" s="57" customFormat="1" ht="15.75" customHeight="1" x14ac:dyDescent="0.2"/>
    <row r="905" s="57" customFormat="1" ht="15.75" customHeight="1" x14ac:dyDescent="0.2"/>
    <row r="906" s="57" customFormat="1" ht="15.75" customHeight="1" x14ac:dyDescent="0.2"/>
    <row r="907" s="57" customFormat="1" ht="15.75" customHeight="1" x14ac:dyDescent="0.2"/>
    <row r="908" s="57" customFormat="1" ht="15.75" customHeight="1" x14ac:dyDescent="0.2"/>
    <row r="909" s="57" customFormat="1" ht="15.75" customHeight="1" x14ac:dyDescent="0.2"/>
    <row r="910" s="57" customFormat="1" ht="15.75" customHeight="1" x14ac:dyDescent="0.2"/>
    <row r="911" s="57" customFormat="1" ht="15.75" customHeight="1" x14ac:dyDescent="0.2"/>
    <row r="912" s="57" customFormat="1" ht="15.75" customHeight="1" x14ac:dyDescent="0.2"/>
    <row r="913" s="57" customFormat="1" ht="15.75" customHeight="1" x14ac:dyDescent="0.2"/>
    <row r="914" s="57" customFormat="1" ht="15.75" customHeight="1" x14ac:dyDescent="0.2"/>
    <row r="915" s="57" customFormat="1" ht="15.75" customHeight="1" x14ac:dyDescent="0.2"/>
    <row r="916" s="57" customFormat="1" ht="15.75" customHeight="1" x14ac:dyDescent="0.2"/>
    <row r="917" s="57" customFormat="1" ht="15.75" customHeight="1" x14ac:dyDescent="0.2"/>
    <row r="918" s="57" customFormat="1" ht="15.75" customHeight="1" x14ac:dyDescent="0.2"/>
    <row r="919" s="57" customFormat="1" ht="15.75" customHeight="1" x14ac:dyDescent="0.2"/>
    <row r="920" s="57" customFormat="1" ht="15.75" customHeight="1" x14ac:dyDescent="0.2"/>
    <row r="921" s="57" customFormat="1" ht="15.75" customHeight="1" x14ac:dyDescent="0.2"/>
    <row r="922" s="57" customFormat="1" ht="15.75" customHeight="1" x14ac:dyDescent="0.2"/>
    <row r="923" s="57" customFormat="1" ht="15.75" customHeight="1" x14ac:dyDescent="0.2"/>
    <row r="924" s="57" customFormat="1" ht="15.75" customHeight="1" x14ac:dyDescent="0.2"/>
    <row r="925" s="57" customFormat="1" ht="15.75" customHeight="1" x14ac:dyDescent="0.2"/>
    <row r="926" s="57" customFormat="1" ht="15.75" customHeight="1" x14ac:dyDescent="0.2"/>
    <row r="927" s="57" customFormat="1" ht="15.75" customHeight="1" x14ac:dyDescent="0.2"/>
    <row r="928" s="57" customFormat="1" ht="15.75" customHeight="1" x14ac:dyDescent="0.2"/>
    <row r="929" s="57" customFormat="1" ht="15.75" customHeight="1" x14ac:dyDescent="0.2"/>
    <row r="930" s="57" customFormat="1" ht="15.75" customHeight="1" x14ac:dyDescent="0.2"/>
    <row r="931" s="57" customFormat="1" ht="15.75" customHeight="1" x14ac:dyDescent="0.2"/>
    <row r="932" s="57" customFormat="1" ht="15.75" customHeight="1" x14ac:dyDescent="0.2"/>
    <row r="933" s="57" customFormat="1" ht="15.75" customHeight="1" x14ac:dyDescent="0.2"/>
    <row r="934" s="57" customFormat="1" ht="15.75" customHeight="1" x14ac:dyDescent="0.2"/>
    <row r="935" s="57" customFormat="1" ht="15.75" customHeight="1" x14ac:dyDescent="0.2"/>
    <row r="936" s="57" customFormat="1" ht="15.75" customHeight="1" x14ac:dyDescent="0.2"/>
    <row r="937" s="57" customFormat="1" ht="15.75" customHeight="1" x14ac:dyDescent="0.2"/>
    <row r="938" s="57" customFormat="1" ht="15.75" customHeight="1" x14ac:dyDescent="0.2"/>
    <row r="939" s="57" customFormat="1" ht="15.75" customHeight="1" x14ac:dyDescent="0.2"/>
    <row r="940" s="57" customFormat="1" ht="15.75" customHeight="1" x14ac:dyDescent="0.2"/>
    <row r="941" s="57" customFormat="1" ht="15.75" customHeight="1" x14ac:dyDescent="0.2"/>
    <row r="942" s="57" customFormat="1" ht="15.75" customHeight="1" x14ac:dyDescent="0.2"/>
    <row r="943" s="57" customFormat="1" ht="15.75" customHeight="1" x14ac:dyDescent="0.2"/>
    <row r="944" s="57" customFormat="1" ht="15.75" customHeight="1" x14ac:dyDescent="0.2"/>
    <row r="945" s="57" customFormat="1" ht="15.75" customHeight="1" x14ac:dyDescent="0.2"/>
    <row r="946" s="57" customFormat="1" ht="15.75" customHeight="1" x14ac:dyDescent="0.2"/>
    <row r="947" s="57" customFormat="1" ht="15.75" customHeight="1" x14ac:dyDescent="0.2"/>
    <row r="948" s="57" customFormat="1" ht="15.75" customHeight="1" x14ac:dyDescent="0.2"/>
    <row r="949" s="57" customFormat="1" ht="15.75" customHeight="1" x14ac:dyDescent="0.2"/>
    <row r="950" s="57" customFormat="1" ht="15.75" customHeight="1" x14ac:dyDescent="0.2"/>
    <row r="951" s="57" customFormat="1" ht="15.75" customHeight="1" x14ac:dyDescent="0.2"/>
    <row r="952" s="57" customFormat="1" ht="15.75" customHeight="1" x14ac:dyDescent="0.2"/>
    <row r="953" s="57" customFormat="1" ht="15.75" customHeight="1" x14ac:dyDescent="0.2"/>
    <row r="954" s="57" customFormat="1" ht="15.75" customHeight="1" x14ac:dyDescent="0.2"/>
    <row r="955" s="57" customFormat="1" ht="15.75" customHeight="1" x14ac:dyDescent="0.2"/>
    <row r="956" s="57" customFormat="1" ht="15.75" customHeight="1" x14ac:dyDescent="0.2"/>
    <row r="957" s="57" customFormat="1" ht="15.75" customHeight="1" x14ac:dyDescent="0.2"/>
    <row r="958" s="57" customFormat="1" ht="15.75" customHeight="1" x14ac:dyDescent="0.2"/>
    <row r="959" s="57" customFormat="1" ht="15.75" customHeight="1" x14ac:dyDescent="0.2"/>
    <row r="960" s="57" customFormat="1" ht="15.75" customHeight="1" x14ac:dyDescent="0.2"/>
    <row r="961" s="57" customFormat="1" ht="15.75" customHeight="1" x14ac:dyDescent="0.2"/>
    <row r="962" s="57" customFormat="1" ht="15.75" customHeight="1" x14ac:dyDescent="0.2"/>
    <row r="963" s="57" customFormat="1" ht="15.75" customHeight="1" x14ac:dyDescent="0.2"/>
    <row r="964" s="57" customFormat="1" ht="15.75" customHeight="1" x14ac:dyDescent="0.2"/>
    <row r="965" s="57" customFormat="1" ht="15.75" customHeight="1" x14ac:dyDescent="0.2"/>
    <row r="966" s="57" customFormat="1" ht="15.75" customHeight="1" x14ac:dyDescent="0.2"/>
    <row r="967" s="57" customFormat="1" ht="15.75" customHeight="1" x14ac:dyDescent="0.2"/>
    <row r="968" s="57" customFormat="1" ht="15.75" customHeight="1" x14ac:dyDescent="0.2"/>
    <row r="969" s="57" customFormat="1" ht="15.75" customHeight="1" x14ac:dyDescent="0.2"/>
    <row r="970" s="57" customFormat="1" ht="15.75" customHeight="1" x14ac:dyDescent="0.2"/>
    <row r="971" s="57" customFormat="1" ht="15.75" customHeight="1" x14ac:dyDescent="0.2"/>
    <row r="972" s="57" customFormat="1" ht="15.75" customHeight="1" x14ac:dyDescent="0.2"/>
    <row r="973" s="57" customFormat="1" ht="15.75" customHeight="1" x14ac:dyDescent="0.2"/>
    <row r="974" s="57" customFormat="1" ht="15.75" customHeight="1" x14ac:dyDescent="0.2"/>
    <row r="975" s="57" customFormat="1" ht="15.75" customHeight="1" x14ac:dyDescent="0.2"/>
    <row r="976" s="57" customFormat="1" ht="15.75" customHeight="1" x14ac:dyDescent="0.2"/>
    <row r="977" s="57" customFormat="1" ht="15.75" customHeight="1" x14ac:dyDescent="0.2"/>
    <row r="978" s="57" customFormat="1" ht="15.75" customHeight="1" x14ac:dyDescent="0.2"/>
    <row r="979" s="57" customFormat="1" ht="15.75" customHeight="1" x14ac:dyDescent="0.2"/>
    <row r="980" s="57" customFormat="1" ht="15.75" customHeight="1" x14ac:dyDescent="0.2"/>
    <row r="981" s="57" customFormat="1" ht="15.75" customHeight="1" x14ac:dyDescent="0.2"/>
    <row r="982" s="57" customFormat="1" ht="15.75" customHeight="1" x14ac:dyDescent="0.2"/>
    <row r="983" s="57" customFormat="1" ht="15.75" customHeight="1" x14ac:dyDescent="0.2"/>
    <row r="984" s="57" customFormat="1" ht="15.75" customHeight="1" x14ac:dyDescent="0.2"/>
    <row r="985" s="57" customFormat="1" ht="15.75" customHeight="1" x14ac:dyDescent="0.2"/>
    <row r="986" s="57" customFormat="1" ht="15.75" customHeight="1" x14ac:dyDescent="0.2"/>
    <row r="987" s="57" customFormat="1" ht="15.75" customHeight="1" x14ac:dyDescent="0.2"/>
    <row r="988" s="57" customFormat="1" ht="15.75" customHeight="1" x14ac:dyDescent="0.2"/>
    <row r="989" s="57" customFormat="1" ht="15.75" customHeight="1" x14ac:dyDescent="0.2"/>
    <row r="990" s="57" customFormat="1" ht="15.75" customHeight="1" x14ac:dyDescent="0.2"/>
    <row r="991" s="57" customFormat="1" ht="15.75" customHeight="1" x14ac:dyDescent="0.2"/>
    <row r="992" s="57" customFormat="1" ht="15.75" customHeight="1" x14ac:dyDescent="0.2"/>
    <row r="993" s="57" customFormat="1" ht="15.75" customHeight="1" x14ac:dyDescent="0.2"/>
    <row r="994" s="57" customFormat="1" ht="15.75" customHeight="1" x14ac:dyDescent="0.2"/>
    <row r="995" s="57" customFormat="1" ht="15.75" customHeight="1" x14ac:dyDescent="0.2"/>
    <row r="996" s="57" customFormat="1" ht="15.75" customHeight="1" x14ac:dyDescent="0.2"/>
    <row r="997" s="57" customFormat="1" ht="15.75" customHeight="1" x14ac:dyDescent="0.2"/>
    <row r="998" s="57" customFormat="1" ht="15.75" customHeight="1" x14ac:dyDescent="0.2"/>
    <row r="999" s="57" customFormat="1" ht="15.75" customHeight="1" x14ac:dyDescent="0.2"/>
  </sheetData>
  <sortState xmlns:xlrd2="http://schemas.microsoft.com/office/spreadsheetml/2017/richdata2" ref="B33:B34">
    <sortCondition descending="1" ref="B34"/>
  </sortState>
  <mergeCells count="3">
    <mergeCell ref="G18:H18"/>
    <mergeCell ref="G29:H29"/>
    <mergeCell ref="G36:H36"/>
  </mergeCells>
  <conditionalFormatting sqref="B2:H13">
    <cfRule type="cellIs" dxfId="20" priority="12" operator="equal">
      <formula>0</formula>
    </cfRule>
  </conditionalFormatting>
  <conditionalFormatting sqref="A15:A35">
    <cfRule type="cellIs" dxfId="19" priority="4" operator="equal">
      <formula>0</formula>
    </cfRule>
  </conditionalFormatting>
  <conditionalFormatting sqref="A14:E14 C15:E48 C49:C53">
    <cfRule type="cellIs" dxfId="18" priority="3" operator="equal">
      <formula>0</formula>
    </cfRule>
  </conditionalFormatting>
  <conditionalFormatting sqref="B15:B52">
    <cfRule type="cellIs" dxfId="17" priority="2" operator="equal">
      <formula>0</formula>
    </cfRule>
  </conditionalFormatting>
  <conditionalFormatting sqref="A36:A50">
    <cfRule type="cellIs" dxfId="16" priority="1" operator="equal">
      <formula>0</formula>
    </cfRule>
  </conditionalFormatting>
  <pageMargins left="0.3" right="0" top="0.5" bottom="0" header="0" footer="0"/>
  <pageSetup scale="99" orientation="portrait" verticalDpi="4294967294" r:id="rId1"/>
  <headerFooter>
    <oddHeader>&amp;C&amp;"Arial Black,Regular"&amp;20THURSDAY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921C2-41EB-4110-B897-98E61038F77D}">
  <sheetPr>
    <pageSetUpPr fitToPage="1"/>
  </sheetPr>
  <dimension ref="A1:E36"/>
  <sheetViews>
    <sheetView workbookViewId="0">
      <selection activeCell="A2" sqref="A2:H14"/>
    </sheetView>
  </sheetViews>
  <sheetFormatPr defaultRowHeight="15" x14ac:dyDescent="0.25"/>
  <cols>
    <col min="1" max="1" width="10.7109375" style="43" customWidth="1"/>
    <col min="2" max="3" width="32.7109375" customWidth="1"/>
    <col min="4" max="4" width="10.7109375" style="43" customWidth="1"/>
    <col min="5" max="5" width="32.7109375" customWidth="1"/>
  </cols>
  <sheetData>
    <row r="1" spans="1:5" ht="24.95" customHeight="1" thickBot="1" x14ac:dyDescent="0.3">
      <c r="A1" s="89" t="s">
        <v>69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5" t="s">
        <v>71</v>
      </c>
      <c r="E2" s="96"/>
    </row>
    <row r="3" spans="1:5" ht="24.95" customHeight="1" thickBot="1" x14ac:dyDescent="0.3">
      <c r="A3" s="42" t="s">
        <v>80</v>
      </c>
      <c r="B3" s="38"/>
      <c r="C3" s="38"/>
      <c r="D3" s="87" t="s">
        <v>80</v>
      </c>
      <c r="E3" s="39"/>
    </row>
    <row r="4" spans="1:5" ht="24.95" customHeight="1" thickBot="1" x14ac:dyDescent="0.3">
      <c r="A4" s="42" t="s">
        <v>97</v>
      </c>
      <c r="B4" s="39"/>
      <c r="C4" s="38"/>
      <c r="D4" s="88"/>
      <c r="E4" s="38"/>
    </row>
    <row r="5" spans="1:5" ht="24.95" customHeight="1" thickBot="1" x14ac:dyDescent="0.3">
      <c r="A5" s="42" t="s">
        <v>81</v>
      </c>
      <c r="B5" s="39"/>
      <c r="C5" s="38"/>
      <c r="D5" s="87" t="s">
        <v>81</v>
      </c>
      <c r="E5" s="39"/>
    </row>
    <row r="6" spans="1:5" ht="24.95" customHeight="1" thickBot="1" x14ac:dyDescent="0.3">
      <c r="A6" s="42" t="s">
        <v>98</v>
      </c>
      <c r="B6" s="40"/>
      <c r="C6" s="38"/>
      <c r="D6" s="88"/>
      <c r="E6" s="38"/>
    </row>
    <row r="7" spans="1:5" ht="24.95" customHeight="1" thickBot="1" x14ac:dyDescent="0.3">
      <c r="A7" s="42" t="s">
        <v>82</v>
      </c>
      <c r="B7" s="39"/>
      <c r="C7" s="38"/>
      <c r="D7" s="87" t="s">
        <v>82</v>
      </c>
      <c r="E7" s="39"/>
    </row>
    <row r="8" spans="1:5" ht="24.95" customHeight="1" thickBot="1" x14ac:dyDescent="0.3">
      <c r="A8" s="42" t="s">
        <v>99</v>
      </c>
      <c r="B8" s="40"/>
      <c r="C8" s="38"/>
      <c r="D8" s="88"/>
      <c r="E8" s="38"/>
    </row>
    <row r="9" spans="1:5" ht="24.95" customHeight="1" thickBot="1" x14ac:dyDescent="0.3">
      <c r="A9" s="42" t="s">
        <v>83</v>
      </c>
      <c r="B9" s="39"/>
      <c r="C9" s="38"/>
      <c r="D9" s="87" t="s">
        <v>83</v>
      </c>
      <c r="E9" s="39"/>
    </row>
    <row r="10" spans="1:5" ht="24.95" customHeight="1" thickBot="1" x14ac:dyDescent="0.3">
      <c r="A10" s="42" t="s">
        <v>100</v>
      </c>
      <c r="B10" s="40"/>
      <c r="C10" s="38"/>
      <c r="D10" s="88"/>
      <c r="E10" s="38"/>
    </row>
    <row r="11" spans="1:5" ht="24.95" customHeight="1" thickBot="1" x14ac:dyDescent="0.3">
      <c r="A11" s="42" t="s">
        <v>84</v>
      </c>
      <c r="B11" s="39"/>
      <c r="C11" s="38"/>
      <c r="D11" s="87" t="s">
        <v>84</v>
      </c>
      <c r="E11" s="40"/>
    </row>
    <row r="12" spans="1:5" ht="24.95" customHeight="1" thickBot="1" x14ac:dyDescent="0.3">
      <c r="A12" s="42" t="s">
        <v>101</v>
      </c>
      <c r="B12" s="39"/>
      <c r="C12" s="38"/>
      <c r="D12" s="88"/>
      <c r="E12" s="38"/>
    </row>
    <row r="13" spans="1:5" ht="24.95" customHeight="1" thickBot="1" x14ac:dyDescent="0.3">
      <c r="A13" s="42" t="s">
        <v>85</v>
      </c>
      <c r="B13" s="39"/>
      <c r="C13" s="38"/>
      <c r="D13" s="87" t="s">
        <v>85</v>
      </c>
      <c r="E13" s="39"/>
    </row>
    <row r="14" spans="1:5" ht="24.95" customHeight="1" thickBot="1" x14ac:dyDescent="0.3">
      <c r="A14" s="42" t="s">
        <v>102</v>
      </c>
      <c r="B14" s="39"/>
      <c r="C14" s="38"/>
      <c r="D14" s="88"/>
      <c r="E14" s="38"/>
    </row>
    <row r="15" spans="1:5" ht="24.95" customHeight="1" thickBot="1" x14ac:dyDescent="0.3">
      <c r="A15" s="42" t="s">
        <v>86</v>
      </c>
      <c r="B15" s="39"/>
      <c r="C15" s="70"/>
      <c r="D15" s="87" t="s">
        <v>86</v>
      </c>
      <c r="E15" s="38"/>
    </row>
    <row r="16" spans="1:5" ht="24.95" customHeight="1" thickBot="1" x14ac:dyDescent="0.3">
      <c r="A16" s="42" t="s">
        <v>103</v>
      </c>
      <c r="B16" s="39"/>
      <c r="C16" s="70"/>
      <c r="D16" s="88"/>
      <c r="E16" s="38"/>
    </row>
    <row r="17" spans="1:5" ht="24.95" customHeight="1" thickBot="1" x14ac:dyDescent="0.3">
      <c r="A17" s="42" t="s">
        <v>87</v>
      </c>
      <c r="B17" s="39"/>
      <c r="C17" s="38"/>
      <c r="D17" s="87" t="s">
        <v>87</v>
      </c>
      <c r="E17" s="39"/>
    </row>
    <row r="18" spans="1:5" ht="24.95" customHeight="1" thickBot="1" x14ac:dyDescent="0.3">
      <c r="A18" s="42" t="s">
        <v>104</v>
      </c>
      <c r="B18" s="39"/>
      <c r="C18" s="38"/>
      <c r="D18" s="88"/>
      <c r="E18" s="38"/>
    </row>
    <row r="19" spans="1:5" ht="24.95" customHeight="1" thickBot="1" x14ac:dyDescent="0.3">
      <c r="A19" s="42" t="s">
        <v>88</v>
      </c>
      <c r="B19" s="38"/>
      <c r="C19" s="38"/>
      <c r="D19" s="87" t="s">
        <v>88</v>
      </c>
      <c r="E19" s="39"/>
    </row>
    <row r="20" spans="1:5" ht="24.95" customHeight="1" thickBot="1" x14ac:dyDescent="0.3">
      <c r="A20" s="42" t="s">
        <v>105</v>
      </c>
      <c r="B20" s="70"/>
      <c r="C20" s="38"/>
      <c r="D20" s="88"/>
      <c r="E20" s="38"/>
    </row>
    <row r="21" spans="1:5" ht="24.95" customHeight="1" thickBot="1" x14ac:dyDescent="0.3">
      <c r="A21" s="42" t="s">
        <v>89</v>
      </c>
      <c r="B21" s="39"/>
      <c r="C21" s="38"/>
      <c r="D21" s="87" t="s">
        <v>89</v>
      </c>
      <c r="E21" s="41"/>
    </row>
    <row r="22" spans="1:5" ht="24.95" customHeight="1" thickBot="1" x14ac:dyDescent="0.3">
      <c r="A22" s="42" t="s">
        <v>106</v>
      </c>
      <c r="B22" s="39"/>
      <c r="C22" s="38"/>
      <c r="D22" s="88"/>
      <c r="E22" s="38"/>
    </row>
    <row r="23" spans="1:5" ht="24.95" customHeight="1" thickBot="1" x14ac:dyDescent="0.3">
      <c r="A23" s="42" t="s">
        <v>90</v>
      </c>
      <c r="B23" s="39"/>
      <c r="C23" s="39"/>
      <c r="D23" s="87" t="s">
        <v>90</v>
      </c>
      <c r="E23" s="39"/>
    </row>
    <row r="24" spans="1:5" ht="24.95" customHeight="1" thickBot="1" x14ac:dyDescent="0.3">
      <c r="A24" s="42" t="s">
        <v>107</v>
      </c>
      <c r="B24" s="40"/>
      <c r="C24" s="38"/>
      <c r="D24" s="88"/>
      <c r="E24" s="39"/>
    </row>
    <row r="25" spans="1:5" ht="24.95" customHeight="1" thickBot="1" x14ac:dyDescent="0.3">
      <c r="A25" s="42" t="s">
        <v>91</v>
      </c>
      <c r="B25" s="39"/>
      <c r="C25" s="39"/>
      <c r="D25" s="87" t="s">
        <v>91</v>
      </c>
      <c r="E25" s="39"/>
    </row>
    <row r="26" spans="1:5" ht="24.95" customHeight="1" thickBot="1" x14ac:dyDescent="0.3">
      <c r="A26" s="42" t="s">
        <v>108</v>
      </c>
      <c r="B26" s="40"/>
      <c r="C26" s="38"/>
      <c r="D26" s="88"/>
      <c r="E26" s="39"/>
    </row>
    <row r="27" spans="1:5" ht="24.95" customHeight="1" thickBot="1" x14ac:dyDescent="0.3">
      <c r="A27" s="42" t="s">
        <v>92</v>
      </c>
      <c r="B27" s="39"/>
      <c r="C27" s="39"/>
      <c r="D27" s="87" t="s">
        <v>92</v>
      </c>
      <c r="E27" s="39"/>
    </row>
    <row r="28" spans="1:5" ht="24.95" customHeight="1" thickBot="1" x14ac:dyDescent="0.3">
      <c r="A28" s="42" t="s">
        <v>109</v>
      </c>
      <c r="B28" s="39"/>
      <c r="C28" s="38"/>
      <c r="D28" s="88"/>
      <c r="E28" s="39"/>
    </row>
    <row r="29" spans="1:5" ht="24.95" customHeight="1" thickBot="1" x14ac:dyDescent="0.3">
      <c r="A29" s="42" t="s">
        <v>93</v>
      </c>
      <c r="B29" s="39"/>
      <c r="C29" s="38"/>
      <c r="D29" s="87" t="s">
        <v>93</v>
      </c>
      <c r="E29" s="39"/>
    </row>
    <row r="30" spans="1:5" ht="24.95" customHeight="1" thickBot="1" x14ac:dyDescent="0.3">
      <c r="A30" s="42" t="s">
        <v>110</v>
      </c>
      <c r="B30" s="40"/>
      <c r="C30" s="38"/>
      <c r="D30" s="88"/>
      <c r="E30" s="39"/>
    </row>
    <row r="31" spans="1:5" ht="24.95" customHeight="1" thickBot="1" x14ac:dyDescent="0.3">
      <c r="A31" s="42" t="s">
        <v>94</v>
      </c>
      <c r="B31" s="39"/>
      <c r="C31" s="38"/>
      <c r="D31" s="87" t="s">
        <v>94</v>
      </c>
      <c r="E31" s="39"/>
    </row>
    <row r="32" spans="1:5" ht="24.95" customHeight="1" thickBot="1" x14ac:dyDescent="0.3">
      <c r="A32" s="42" t="s">
        <v>111</v>
      </c>
      <c r="B32" s="40"/>
      <c r="C32" s="39"/>
      <c r="D32" s="88"/>
      <c r="E32" s="39"/>
    </row>
    <row r="33" spans="1:5" ht="24.95" customHeight="1" thickBot="1" x14ac:dyDescent="0.3">
      <c r="A33" s="42" t="s">
        <v>95</v>
      </c>
      <c r="B33" s="39"/>
      <c r="C33" s="38"/>
      <c r="D33" s="87" t="s">
        <v>95</v>
      </c>
      <c r="E33" s="40"/>
    </row>
    <row r="34" spans="1:5" ht="24.95" customHeight="1" thickBot="1" x14ac:dyDescent="0.3">
      <c r="A34" s="42" t="s">
        <v>112</v>
      </c>
      <c r="B34" s="39"/>
      <c r="C34" s="38"/>
      <c r="D34" s="88"/>
      <c r="E34" s="38"/>
    </row>
    <row r="35" spans="1:5" ht="24.95" customHeight="1" thickBot="1" x14ac:dyDescent="0.3">
      <c r="A35" s="42" t="s">
        <v>96</v>
      </c>
      <c r="B35" s="39"/>
      <c r="C35" s="38"/>
      <c r="D35" s="87" t="s">
        <v>96</v>
      </c>
      <c r="E35" s="39"/>
    </row>
    <row r="36" spans="1:5" ht="24.95" customHeight="1" thickBot="1" x14ac:dyDescent="0.3">
      <c r="A36" s="42" t="s">
        <v>113</v>
      </c>
      <c r="B36" s="39"/>
      <c r="C36" s="38"/>
      <c r="D36" s="88"/>
      <c r="E36" s="38"/>
    </row>
  </sheetData>
  <mergeCells count="20">
    <mergeCell ref="D19:D20"/>
    <mergeCell ref="A1:E1"/>
    <mergeCell ref="A2:C2"/>
    <mergeCell ref="D2:E2"/>
    <mergeCell ref="D3:D4"/>
    <mergeCell ref="D5:D6"/>
    <mergeCell ref="D7:D8"/>
    <mergeCell ref="D9:D10"/>
    <mergeCell ref="D11:D12"/>
    <mergeCell ref="D13:D14"/>
    <mergeCell ref="D15:D16"/>
    <mergeCell ref="D17:D18"/>
    <mergeCell ref="D33:D34"/>
    <mergeCell ref="D35:D36"/>
    <mergeCell ref="D21:D22"/>
    <mergeCell ref="D23:D24"/>
    <mergeCell ref="D25:D26"/>
    <mergeCell ref="D27:D28"/>
    <mergeCell ref="D29:D30"/>
    <mergeCell ref="D31:D32"/>
  </mergeCells>
  <printOptions gridLines="1"/>
  <pageMargins left="0.7" right="0.7" top="0.75" bottom="0.75" header="0.3" footer="0.3"/>
  <pageSetup scale="75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0BAC8-37FE-4EFE-A463-2D3BAE5608A9}">
  <sheetPr>
    <pageSetUpPr fitToPage="1"/>
  </sheetPr>
  <dimension ref="A1:E36"/>
  <sheetViews>
    <sheetView workbookViewId="0">
      <selection activeCell="A2" sqref="A2:H14"/>
    </sheetView>
  </sheetViews>
  <sheetFormatPr defaultRowHeight="15" x14ac:dyDescent="0.25"/>
  <cols>
    <col min="1" max="1" width="10.7109375" style="45" customWidth="1"/>
    <col min="2" max="3" width="32.7109375" customWidth="1"/>
    <col min="4" max="4" width="10.7109375" style="45" customWidth="1"/>
    <col min="5" max="5" width="32.7109375" customWidth="1"/>
  </cols>
  <sheetData>
    <row r="1" spans="1:5" ht="24.95" customHeight="1" thickBot="1" x14ac:dyDescent="0.3">
      <c r="A1" s="89" t="s">
        <v>72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2" t="s">
        <v>71</v>
      </c>
      <c r="E2" s="94"/>
    </row>
    <row r="3" spans="1:5" ht="24.95" customHeight="1" thickBot="1" x14ac:dyDescent="0.3">
      <c r="A3" s="44">
        <v>1130</v>
      </c>
      <c r="B3" s="38"/>
      <c r="C3" s="38"/>
      <c r="D3" s="46">
        <v>1130</v>
      </c>
      <c r="E3" s="39"/>
    </row>
    <row r="4" spans="1:5" ht="24.95" customHeight="1" thickBot="1" x14ac:dyDescent="0.3">
      <c r="A4" s="44">
        <v>1145</v>
      </c>
      <c r="B4" s="39"/>
      <c r="C4" s="39"/>
      <c r="D4" s="46"/>
      <c r="E4" s="39"/>
    </row>
    <row r="5" spans="1:5" ht="24.95" customHeight="1" thickBot="1" x14ac:dyDescent="0.3">
      <c r="A5" s="44">
        <v>1200</v>
      </c>
      <c r="B5" s="39"/>
      <c r="C5" s="38"/>
      <c r="D5" s="46">
        <v>1200</v>
      </c>
      <c r="E5" s="39"/>
    </row>
    <row r="6" spans="1:5" ht="24.95" customHeight="1" thickBot="1" x14ac:dyDescent="0.3">
      <c r="A6" s="44">
        <v>1215</v>
      </c>
      <c r="B6" s="39"/>
      <c r="C6" s="39"/>
      <c r="D6" s="46"/>
      <c r="E6" s="39"/>
    </row>
    <row r="7" spans="1:5" ht="24.95" customHeight="1" thickBot="1" x14ac:dyDescent="0.3">
      <c r="A7" s="44">
        <v>1230</v>
      </c>
      <c r="B7" s="39"/>
      <c r="C7" s="38"/>
      <c r="D7" s="46">
        <v>1230</v>
      </c>
      <c r="E7" s="39"/>
    </row>
    <row r="8" spans="1:5" ht="24.95" customHeight="1" thickBot="1" x14ac:dyDescent="0.3">
      <c r="A8" s="44">
        <v>1245</v>
      </c>
      <c r="B8" s="39"/>
      <c r="C8" s="39"/>
      <c r="D8" s="46"/>
      <c r="E8" s="39"/>
    </row>
    <row r="9" spans="1:5" ht="24.95" customHeight="1" thickBot="1" x14ac:dyDescent="0.3">
      <c r="A9" s="44">
        <v>1300</v>
      </c>
      <c r="B9" s="39"/>
      <c r="C9" s="38"/>
      <c r="D9" s="46">
        <v>1300</v>
      </c>
      <c r="E9" s="39"/>
    </row>
    <row r="10" spans="1:5" ht="24.95" customHeight="1" thickBot="1" x14ac:dyDescent="0.3">
      <c r="A10" s="44">
        <v>1315</v>
      </c>
      <c r="B10" s="39"/>
      <c r="C10" s="38"/>
      <c r="D10" s="46"/>
      <c r="E10" s="39"/>
    </row>
    <row r="11" spans="1:5" ht="24.95" customHeight="1" thickBot="1" x14ac:dyDescent="0.3">
      <c r="A11" s="44">
        <v>1330</v>
      </c>
      <c r="B11" s="39"/>
      <c r="C11" s="38"/>
      <c r="D11" s="46">
        <v>1330</v>
      </c>
      <c r="E11" s="39"/>
    </row>
    <row r="12" spans="1:5" ht="24.95" customHeight="1" thickBot="1" x14ac:dyDescent="0.3">
      <c r="A12" s="44">
        <v>1345</v>
      </c>
      <c r="B12" s="39"/>
      <c r="C12" s="38"/>
      <c r="D12" s="46"/>
      <c r="E12" s="40"/>
    </row>
    <row r="13" spans="1:5" ht="24.95" customHeight="1" thickBot="1" x14ac:dyDescent="0.3">
      <c r="A13" s="44">
        <v>1400</v>
      </c>
      <c r="B13" s="39"/>
      <c r="C13" s="39"/>
      <c r="D13" s="46">
        <v>1400</v>
      </c>
      <c r="E13" s="39"/>
    </row>
    <row r="14" spans="1:5" ht="24.95" customHeight="1" thickBot="1" x14ac:dyDescent="0.3">
      <c r="A14" s="44">
        <v>1415</v>
      </c>
      <c r="B14" s="39"/>
      <c r="C14" s="40"/>
      <c r="D14" s="47"/>
      <c r="E14" s="38"/>
    </row>
    <row r="15" spans="1:5" ht="24.95" customHeight="1" thickBot="1" x14ac:dyDescent="0.3">
      <c r="A15" s="44">
        <v>1430</v>
      </c>
      <c r="B15" s="39"/>
      <c r="C15" s="38"/>
      <c r="D15" s="46">
        <v>1430</v>
      </c>
      <c r="E15" s="39"/>
    </row>
    <row r="16" spans="1:5" ht="24.95" customHeight="1" thickBot="1" x14ac:dyDescent="0.3">
      <c r="A16" s="44">
        <v>1445</v>
      </c>
      <c r="B16" s="39"/>
      <c r="C16" s="40"/>
      <c r="D16" s="47"/>
      <c r="E16" s="38"/>
    </row>
    <row r="17" spans="1:5" ht="24.95" customHeight="1" thickBot="1" x14ac:dyDescent="0.3">
      <c r="A17" s="44">
        <v>1500</v>
      </c>
      <c r="B17" s="39"/>
      <c r="C17" s="38"/>
      <c r="D17" s="46">
        <v>1500</v>
      </c>
      <c r="E17" s="39"/>
    </row>
    <row r="18" spans="1:5" ht="24.95" customHeight="1" thickBot="1" x14ac:dyDescent="0.3">
      <c r="A18" s="44">
        <v>1515</v>
      </c>
      <c r="B18" s="39"/>
      <c r="C18" s="40"/>
      <c r="D18" s="47"/>
      <c r="E18" s="38"/>
    </row>
    <row r="19" spans="1:5" ht="24.95" customHeight="1" thickBot="1" x14ac:dyDescent="0.3">
      <c r="A19" s="44">
        <v>1530</v>
      </c>
      <c r="B19" s="39"/>
      <c r="C19" s="38"/>
      <c r="D19" s="46">
        <v>1530</v>
      </c>
      <c r="E19" s="39"/>
    </row>
    <row r="20" spans="1:5" ht="24.95" customHeight="1" thickBot="1" x14ac:dyDescent="0.3">
      <c r="A20" s="44">
        <v>1545</v>
      </c>
      <c r="B20" s="39"/>
      <c r="C20" s="40"/>
      <c r="D20" s="47"/>
      <c r="E20" s="38"/>
    </row>
    <row r="21" spans="1:5" ht="24.95" customHeight="1" thickBot="1" x14ac:dyDescent="0.3">
      <c r="A21" s="44">
        <v>1600</v>
      </c>
      <c r="B21" s="39"/>
      <c r="C21" s="38"/>
      <c r="D21" s="46">
        <v>1600</v>
      </c>
      <c r="E21" s="39"/>
    </row>
    <row r="22" spans="1:5" ht="24.95" customHeight="1" thickBot="1" x14ac:dyDescent="0.3">
      <c r="A22" s="44">
        <v>1615</v>
      </c>
      <c r="B22" s="39"/>
      <c r="C22" s="40"/>
      <c r="D22" s="47"/>
      <c r="E22" s="38"/>
    </row>
    <row r="23" spans="1:5" ht="24.95" customHeight="1" thickBot="1" x14ac:dyDescent="0.3">
      <c r="A23" s="44">
        <v>1630</v>
      </c>
      <c r="B23" s="39"/>
      <c r="C23" s="38"/>
      <c r="D23" s="46">
        <v>1630</v>
      </c>
      <c r="E23" s="39"/>
    </row>
    <row r="24" spans="1:5" ht="24.95" customHeight="1" thickBot="1" x14ac:dyDescent="0.3">
      <c r="A24" s="44">
        <v>1645</v>
      </c>
      <c r="B24" s="39"/>
      <c r="C24" s="40"/>
      <c r="D24" s="47"/>
      <c r="E24" s="38"/>
    </row>
    <row r="25" spans="1:5" ht="24.95" customHeight="1" thickBot="1" x14ac:dyDescent="0.3">
      <c r="A25" s="44">
        <v>1700</v>
      </c>
      <c r="B25" s="39"/>
      <c r="C25" s="38"/>
      <c r="D25" s="46">
        <v>1700</v>
      </c>
      <c r="E25" s="39"/>
    </row>
    <row r="26" spans="1:5" ht="24.95" customHeight="1" thickBot="1" x14ac:dyDescent="0.3">
      <c r="A26" s="44">
        <v>1715</v>
      </c>
      <c r="B26" s="39"/>
      <c r="C26" s="38"/>
      <c r="D26" s="47"/>
      <c r="E26" s="38"/>
    </row>
    <row r="27" spans="1:5" ht="24.95" customHeight="1" thickBot="1" x14ac:dyDescent="0.3">
      <c r="A27" s="44">
        <v>1730</v>
      </c>
      <c r="B27" s="39"/>
      <c r="C27" s="38"/>
      <c r="D27" s="46">
        <v>1730</v>
      </c>
      <c r="E27" s="39"/>
    </row>
    <row r="28" spans="1:5" ht="24.95" customHeight="1" thickBot="1" x14ac:dyDescent="0.3">
      <c r="A28" s="44">
        <v>1745</v>
      </c>
      <c r="B28" s="39"/>
      <c r="C28" s="40"/>
      <c r="D28" s="46"/>
      <c r="E28" s="39"/>
    </row>
    <row r="29" spans="1:5" ht="24.95" customHeight="1" thickBot="1" x14ac:dyDescent="0.3">
      <c r="A29" s="44">
        <v>1800</v>
      </c>
      <c r="B29" s="39"/>
      <c r="C29" s="38"/>
      <c r="D29" s="46">
        <v>1800</v>
      </c>
      <c r="E29" s="39"/>
    </row>
    <row r="30" spans="1:5" ht="24.95" customHeight="1" thickBot="1" x14ac:dyDescent="0.3">
      <c r="A30" s="44">
        <v>1815</v>
      </c>
      <c r="B30" s="39"/>
      <c r="C30" s="39"/>
      <c r="D30" s="46"/>
      <c r="E30" s="39"/>
    </row>
    <row r="31" spans="1:5" ht="24.95" customHeight="1" thickBot="1" x14ac:dyDescent="0.3">
      <c r="A31" s="44">
        <v>1830</v>
      </c>
      <c r="B31" s="39"/>
      <c r="C31" s="39"/>
      <c r="D31" s="46">
        <v>1830</v>
      </c>
      <c r="E31" s="39"/>
    </row>
    <row r="32" spans="1:5" ht="24.95" customHeight="1" thickBot="1" x14ac:dyDescent="0.3">
      <c r="A32" s="44">
        <v>1845</v>
      </c>
      <c r="B32" s="39"/>
      <c r="C32" s="40"/>
      <c r="D32" s="46"/>
      <c r="E32" s="39"/>
    </row>
    <row r="33" spans="1:5" ht="24.95" customHeight="1" thickBot="1" x14ac:dyDescent="0.3">
      <c r="A33" s="44">
        <v>1900</v>
      </c>
      <c r="B33" s="39"/>
      <c r="C33" s="38"/>
      <c r="D33" s="46">
        <v>1900</v>
      </c>
      <c r="E33" s="39"/>
    </row>
    <row r="34" spans="1:5" ht="24.95" customHeight="1" thickBot="1" x14ac:dyDescent="0.3">
      <c r="A34" s="44">
        <v>1915</v>
      </c>
      <c r="B34" s="39"/>
      <c r="C34" s="39"/>
      <c r="D34" s="46"/>
      <c r="E34" s="39"/>
    </row>
    <row r="35" spans="1:5" ht="24.95" customHeight="1" thickBot="1" x14ac:dyDescent="0.3">
      <c r="A35" s="44">
        <v>1930</v>
      </c>
      <c r="B35" s="39"/>
      <c r="C35" s="38"/>
      <c r="D35" s="46">
        <v>1930</v>
      </c>
      <c r="E35" s="39"/>
    </row>
    <row r="36" spans="1:5" ht="24.95" customHeight="1" thickBot="1" x14ac:dyDescent="0.3">
      <c r="A36" s="44">
        <v>1945</v>
      </c>
      <c r="B36" s="39"/>
      <c r="C36" s="40"/>
      <c r="D36" s="46"/>
      <c r="E36" s="39"/>
    </row>
  </sheetData>
  <mergeCells count="3">
    <mergeCell ref="A1:E1"/>
    <mergeCell ref="A2:C2"/>
    <mergeCell ref="D2:E2"/>
  </mergeCells>
  <pageMargins left="0.7" right="0.7" top="0.75" bottom="0.75" header="0.3" footer="0.3"/>
  <pageSetup scale="75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BC1BE-E230-4736-BCCF-EE9BDF152FE3}">
  <sheetPr>
    <pageSetUpPr fitToPage="1"/>
  </sheetPr>
  <dimension ref="A1:E36"/>
  <sheetViews>
    <sheetView zoomScale="90" zoomScaleNormal="90" workbookViewId="0">
      <selection activeCell="A2" sqref="A2:H14"/>
    </sheetView>
  </sheetViews>
  <sheetFormatPr defaultRowHeight="15" x14ac:dyDescent="0.25"/>
  <cols>
    <col min="1" max="1" width="10.7109375" style="43" customWidth="1"/>
    <col min="2" max="3" width="32.7109375" customWidth="1"/>
    <col min="4" max="4" width="10.7109375" style="43" customWidth="1"/>
    <col min="5" max="5" width="32.7109375" customWidth="1"/>
  </cols>
  <sheetData>
    <row r="1" spans="1:5" ht="24.95" customHeight="1" thickBot="1" x14ac:dyDescent="0.3">
      <c r="A1" s="89" t="s">
        <v>73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2" t="s">
        <v>71</v>
      </c>
      <c r="E2" s="94"/>
    </row>
    <row r="3" spans="1:5" ht="24.95" customHeight="1" thickBot="1" x14ac:dyDescent="0.3">
      <c r="A3" s="42">
        <v>2000</v>
      </c>
      <c r="B3" s="39"/>
      <c r="C3" s="38"/>
      <c r="D3" s="48">
        <v>2000</v>
      </c>
      <c r="E3" s="39"/>
    </row>
    <row r="4" spans="1:5" ht="24.95" customHeight="1" thickBot="1" x14ac:dyDescent="0.3">
      <c r="A4" s="42">
        <v>2015</v>
      </c>
      <c r="B4" s="39"/>
      <c r="C4" s="40"/>
      <c r="D4" s="49"/>
      <c r="E4" s="38"/>
    </row>
    <row r="5" spans="1:5" ht="24.95" customHeight="1" thickBot="1" x14ac:dyDescent="0.3">
      <c r="A5" s="42">
        <v>2030</v>
      </c>
      <c r="B5" s="39"/>
      <c r="C5" s="38"/>
      <c r="D5" s="48">
        <v>2030</v>
      </c>
      <c r="E5" s="39"/>
    </row>
    <row r="6" spans="1:5" ht="24.95" customHeight="1" thickBot="1" x14ac:dyDescent="0.3">
      <c r="A6" s="42">
        <v>2045</v>
      </c>
      <c r="B6" s="40"/>
      <c r="C6" s="40"/>
      <c r="D6" s="49"/>
      <c r="E6" s="38"/>
    </row>
    <row r="7" spans="1:5" ht="24.95" customHeight="1" thickBot="1" x14ac:dyDescent="0.3">
      <c r="A7" s="42">
        <v>2100</v>
      </c>
      <c r="B7" s="38"/>
      <c r="C7" s="38"/>
      <c r="D7" s="48">
        <v>2100</v>
      </c>
      <c r="E7" s="39"/>
    </row>
    <row r="8" spans="1:5" ht="24.95" customHeight="1" thickBot="1" x14ac:dyDescent="0.3">
      <c r="A8" s="42">
        <v>2115</v>
      </c>
      <c r="B8" s="39"/>
      <c r="C8" s="38"/>
      <c r="D8" s="49"/>
      <c r="E8" s="38"/>
    </row>
    <row r="9" spans="1:5" ht="24.95" customHeight="1" thickBot="1" x14ac:dyDescent="0.3">
      <c r="A9" s="42">
        <v>2130</v>
      </c>
      <c r="B9" s="39"/>
      <c r="C9" s="39"/>
      <c r="D9" s="48">
        <v>2130</v>
      </c>
      <c r="E9" s="40"/>
    </row>
    <row r="10" spans="1:5" ht="24.95" customHeight="1" thickBot="1" x14ac:dyDescent="0.3">
      <c r="A10" s="42">
        <v>2145</v>
      </c>
      <c r="B10" s="39"/>
      <c r="C10" s="38"/>
      <c r="D10" s="48"/>
      <c r="E10" s="40"/>
    </row>
    <row r="11" spans="1:5" ht="24.95" customHeight="1" thickBot="1" x14ac:dyDescent="0.3">
      <c r="A11" s="42">
        <v>2200</v>
      </c>
      <c r="B11" s="39"/>
      <c r="C11" s="39"/>
      <c r="D11" s="48">
        <v>2200</v>
      </c>
      <c r="E11" s="40"/>
    </row>
    <row r="12" spans="1:5" ht="24.95" customHeight="1" thickBot="1" x14ac:dyDescent="0.3">
      <c r="A12" s="42">
        <v>2215</v>
      </c>
      <c r="B12" s="39"/>
      <c r="C12" s="38"/>
      <c r="D12" s="48"/>
      <c r="E12" s="40"/>
    </row>
    <row r="13" spans="1:5" ht="24.95" customHeight="1" thickBot="1" x14ac:dyDescent="0.3">
      <c r="A13" s="42">
        <v>2230</v>
      </c>
      <c r="B13" s="39"/>
      <c r="C13" s="39"/>
      <c r="D13" s="48">
        <v>2230</v>
      </c>
      <c r="E13" s="40"/>
    </row>
    <row r="14" spans="1:5" ht="24.95" customHeight="1" thickBot="1" x14ac:dyDescent="0.3">
      <c r="A14" s="42">
        <v>2245</v>
      </c>
      <c r="B14" s="39"/>
      <c r="C14" s="38"/>
      <c r="D14" s="48"/>
      <c r="E14" s="40"/>
    </row>
    <row r="15" spans="1:5" ht="24.95" customHeight="1" thickBot="1" x14ac:dyDescent="0.3">
      <c r="A15" s="42">
        <v>2300</v>
      </c>
      <c r="B15" s="39"/>
      <c r="C15" s="39"/>
      <c r="D15" s="48">
        <v>2300</v>
      </c>
      <c r="E15" s="40"/>
    </row>
    <row r="16" spans="1:5" ht="24.95" customHeight="1" thickBot="1" x14ac:dyDescent="0.3">
      <c r="A16" s="42">
        <v>2315</v>
      </c>
      <c r="B16" s="39"/>
      <c r="C16" s="38"/>
      <c r="D16" s="48"/>
      <c r="E16" s="40"/>
    </row>
    <row r="17" spans="1:5" ht="24.95" customHeight="1" thickBot="1" x14ac:dyDescent="0.3">
      <c r="A17" s="42">
        <v>2330</v>
      </c>
      <c r="B17" s="39"/>
      <c r="C17" s="39"/>
      <c r="D17" s="48">
        <v>2330</v>
      </c>
      <c r="E17" s="40"/>
    </row>
    <row r="18" spans="1:5" ht="24.95" customHeight="1" thickBot="1" x14ac:dyDescent="0.3">
      <c r="A18" s="42">
        <v>2345</v>
      </c>
      <c r="B18" s="39"/>
      <c r="C18" s="38"/>
      <c r="D18" s="48"/>
      <c r="E18" s="40"/>
    </row>
    <row r="19" spans="1:5" ht="24.95" customHeight="1" thickBot="1" x14ac:dyDescent="0.3">
      <c r="A19" s="42" t="s">
        <v>115</v>
      </c>
      <c r="B19" s="39"/>
      <c r="C19" s="39"/>
      <c r="D19" s="48" t="s">
        <v>115</v>
      </c>
      <c r="E19" s="40"/>
    </row>
    <row r="20" spans="1:5" ht="24.95" customHeight="1" thickBot="1" x14ac:dyDescent="0.3">
      <c r="A20" s="42" t="s">
        <v>121</v>
      </c>
      <c r="B20" s="39"/>
      <c r="C20" s="39"/>
      <c r="D20" s="49"/>
      <c r="E20" s="38"/>
    </row>
    <row r="21" spans="1:5" ht="24.95" customHeight="1" thickBot="1" x14ac:dyDescent="0.3">
      <c r="A21" s="42" t="s">
        <v>116</v>
      </c>
      <c r="B21" s="39"/>
      <c r="C21" s="38"/>
      <c r="D21" s="48" t="s">
        <v>116</v>
      </c>
      <c r="E21" s="40"/>
    </row>
    <row r="22" spans="1:5" ht="24.95" customHeight="1" thickBot="1" x14ac:dyDescent="0.3">
      <c r="A22" s="42" t="s">
        <v>122</v>
      </c>
      <c r="B22" s="39"/>
      <c r="C22" s="40"/>
      <c r="D22" s="71"/>
      <c r="E22" s="39"/>
    </row>
    <row r="23" spans="1:5" ht="24.95" customHeight="1" thickBot="1" x14ac:dyDescent="0.3">
      <c r="A23" s="42" t="s">
        <v>117</v>
      </c>
      <c r="B23" s="39"/>
      <c r="C23" s="38"/>
      <c r="D23" s="48" t="s">
        <v>117</v>
      </c>
      <c r="E23" s="40"/>
    </row>
    <row r="24" spans="1:5" ht="24.95" customHeight="1" thickBot="1" x14ac:dyDescent="0.3">
      <c r="A24" s="42" t="s">
        <v>123</v>
      </c>
      <c r="B24" s="39"/>
      <c r="C24" s="40"/>
      <c r="D24" s="71"/>
      <c r="E24" s="70"/>
    </row>
    <row r="25" spans="1:5" ht="24.95" customHeight="1" thickBot="1" x14ac:dyDescent="0.3">
      <c r="A25" s="42" t="s">
        <v>118</v>
      </c>
      <c r="B25" s="39"/>
      <c r="C25" s="39"/>
      <c r="D25" s="48" t="s">
        <v>118</v>
      </c>
      <c r="E25" s="70"/>
    </row>
    <row r="26" spans="1:5" ht="24.95" customHeight="1" thickBot="1" x14ac:dyDescent="0.3">
      <c r="A26" s="42" t="s">
        <v>124</v>
      </c>
      <c r="B26" s="39"/>
      <c r="C26" s="40"/>
      <c r="D26" s="71"/>
      <c r="E26" s="70"/>
    </row>
    <row r="27" spans="1:5" ht="24.95" customHeight="1" thickBot="1" x14ac:dyDescent="0.3">
      <c r="A27" s="42" t="s">
        <v>119</v>
      </c>
      <c r="B27" s="39"/>
      <c r="C27" s="38"/>
      <c r="D27" s="48" t="s">
        <v>119</v>
      </c>
      <c r="E27" s="70"/>
    </row>
    <row r="28" spans="1:5" ht="24.95" customHeight="1" thickBot="1" x14ac:dyDescent="0.3">
      <c r="A28" s="42" t="s">
        <v>125</v>
      </c>
      <c r="B28" s="39"/>
      <c r="C28" s="39"/>
      <c r="D28" s="71"/>
      <c r="E28" s="70"/>
    </row>
    <row r="29" spans="1:5" ht="24.95" customHeight="1" thickBot="1" x14ac:dyDescent="0.3">
      <c r="A29" s="42" t="s">
        <v>120</v>
      </c>
      <c r="B29" s="39"/>
      <c r="C29" s="38"/>
      <c r="D29" s="48" t="s">
        <v>120</v>
      </c>
      <c r="E29" s="39"/>
    </row>
    <row r="30" spans="1:5" ht="24.95" customHeight="1" thickBot="1" x14ac:dyDescent="0.3">
      <c r="A30" s="42" t="s">
        <v>126</v>
      </c>
      <c r="B30" s="39"/>
      <c r="C30" s="70"/>
      <c r="D30" s="71"/>
      <c r="E30" s="39"/>
    </row>
    <row r="31" spans="1:5" x14ac:dyDescent="0.25">
      <c r="A31" s="99" t="s">
        <v>74</v>
      </c>
      <c r="B31" s="99"/>
      <c r="C31" s="99"/>
      <c r="D31" s="99"/>
      <c r="E31" s="99"/>
    </row>
    <row r="32" spans="1:5" x14ac:dyDescent="0.25">
      <c r="A32" s="98" t="s">
        <v>75</v>
      </c>
      <c r="B32" s="98"/>
      <c r="C32" s="98"/>
      <c r="D32" s="98"/>
      <c r="E32" s="98"/>
    </row>
    <row r="33" spans="1:5" x14ac:dyDescent="0.25">
      <c r="A33" s="98" t="s">
        <v>76</v>
      </c>
      <c r="B33" s="98"/>
      <c r="C33" s="98"/>
      <c r="D33" s="98"/>
      <c r="E33" s="98"/>
    </row>
    <row r="34" spans="1:5" ht="30" customHeight="1" x14ac:dyDescent="0.25">
      <c r="A34" s="97" t="s">
        <v>77</v>
      </c>
      <c r="B34" s="97"/>
      <c r="C34" s="97"/>
      <c r="D34" s="97"/>
      <c r="E34" s="97"/>
    </row>
    <row r="35" spans="1:5" x14ac:dyDescent="0.25">
      <c r="A35" s="98" t="s">
        <v>78</v>
      </c>
      <c r="B35" s="98"/>
      <c r="C35" s="98"/>
      <c r="D35" s="98"/>
      <c r="E35" s="98"/>
    </row>
    <row r="36" spans="1:5" x14ac:dyDescent="0.25">
      <c r="A36" s="98" t="s">
        <v>79</v>
      </c>
      <c r="B36" s="98"/>
      <c r="C36" s="98"/>
      <c r="D36" s="98"/>
      <c r="E36" s="98"/>
    </row>
  </sheetData>
  <mergeCells count="9">
    <mergeCell ref="A34:E34"/>
    <mergeCell ref="A35:E35"/>
    <mergeCell ref="A36:E36"/>
    <mergeCell ref="A1:E1"/>
    <mergeCell ref="A2:C2"/>
    <mergeCell ref="D2:E2"/>
    <mergeCell ref="A31:E31"/>
    <mergeCell ref="A32:E32"/>
    <mergeCell ref="A33:E33"/>
  </mergeCells>
  <pageMargins left="0.7" right="0.7" top="0.75" bottom="0.75" header="0.3" footer="0.3"/>
  <pageSetup scale="75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I999"/>
  <sheetViews>
    <sheetView view="pageLayout" zoomScaleNormal="100" workbookViewId="0"/>
  </sheetViews>
  <sheetFormatPr defaultColWidth="14.42578125" defaultRowHeight="15" customHeight="1" x14ac:dyDescent="0.2"/>
  <cols>
    <col min="1" max="2" width="12.85546875" style="57" customWidth="1"/>
    <col min="3" max="3" width="14" style="57" customWidth="1"/>
    <col min="4" max="6" width="12.85546875" style="57" customWidth="1"/>
    <col min="7" max="7" width="11.85546875" style="57" bestFit="1" customWidth="1"/>
    <col min="8" max="8" width="12.85546875" style="57" customWidth="1"/>
    <col min="9" max="9" width="8.7109375" style="57" customWidth="1"/>
    <col min="10" max="16384" width="14.42578125" style="57"/>
  </cols>
  <sheetData>
    <row r="1" spans="1:9" x14ac:dyDescent="0.2">
      <c r="A1" s="1" t="s">
        <v>46</v>
      </c>
      <c r="B1" s="1" t="s">
        <v>63</v>
      </c>
      <c r="C1" s="1" t="s">
        <v>2</v>
      </c>
      <c r="D1" s="1" t="s">
        <v>3</v>
      </c>
      <c r="E1" s="1" t="s">
        <v>56</v>
      </c>
      <c r="F1" s="1" t="s">
        <v>4</v>
      </c>
      <c r="G1" s="11" t="s">
        <v>5</v>
      </c>
      <c r="H1" s="12" t="s">
        <v>6</v>
      </c>
    </row>
    <row r="2" spans="1:9" ht="14.25" x14ac:dyDescent="0.2">
      <c r="A2" s="10" t="s">
        <v>7</v>
      </c>
      <c r="B2" s="82" t="str">
        <f>IF('2026'!B71&lt;&gt;"", '2026'!B71, "")</f>
        <v>SCOT</v>
      </c>
      <c r="C2" s="82" t="str">
        <f>IF('2026'!C71&lt;&gt;"", '2026'!C71, "")</f>
        <v/>
      </c>
      <c r="D2" s="82" t="str">
        <f>IF('2026'!D71&lt;&gt;"", '2026'!D71, "")</f>
        <v/>
      </c>
      <c r="E2" s="82" t="str">
        <f>IF('2026'!E71&lt;&gt;"", '2026'!E71, "")</f>
        <v/>
      </c>
      <c r="F2" s="82" t="str">
        <f>IF('2026'!F71&lt;&gt;"", '2026'!F71, "")</f>
        <v/>
      </c>
      <c r="G2" s="83" t="str">
        <f>IF('2026'!G71&lt;&gt;"", '2026'!G71, "")</f>
        <v/>
      </c>
      <c r="H2" s="82" t="str">
        <f>IF('2026'!H71&lt;&gt;"", '2026'!H71, "")</f>
        <v/>
      </c>
    </row>
    <row r="3" spans="1:9" ht="14.25" x14ac:dyDescent="0.2">
      <c r="A3" s="10" t="s">
        <v>8</v>
      </c>
      <c r="B3" s="82" t="str">
        <f>IF('2026'!B72&lt;&gt;"", '2026'!B72, "")</f>
        <v>SCOT/OCHO</v>
      </c>
      <c r="C3" s="82" t="str">
        <f>IF('2026'!C72&lt;&gt;"", '2026'!C72, "")</f>
        <v/>
      </c>
      <c r="D3" s="82" t="str">
        <f>IF('2026'!D72&lt;&gt;"", '2026'!D72, "")</f>
        <v/>
      </c>
      <c r="E3" s="82" t="str">
        <f>IF('2026'!E72&lt;&gt;"", '2026'!E72, "")</f>
        <v/>
      </c>
      <c r="F3" s="82" t="str">
        <f>IF('2026'!F72&lt;&gt;"", '2026'!F72, "")</f>
        <v/>
      </c>
      <c r="G3" s="83" t="str">
        <f>IF('2026'!G72&lt;&gt;"", '2026'!G72, "")</f>
        <v/>
      </c>
      <c r="H3" s="82" t="str">
        <f>IF('2026'!H72&lt;&gt;"", '2026'!H72, "")</f>
        <v/>
      </c>
    </row>
    <row r="4" spans="1:9" ht="14.25" x14ac:dyDescent="0.2">
      <c r="A4" s="10" t="s">
        <v>9</v>
      </c>
      <c r="B4" s="82" t="str">
        <f>IF('2026'!B73&lt;&gt;"", '2026'!B73, "")</f>
        <v/>
      </c>
      <c r="C4" s="82" t="str">
        <f>IF('2026'!C73&lt;&gt;"", '2026'!C73, "")</f>
        <v/>
      </c>
      <c r="D4" s="82" t="str">
        <f>IF('2026'!D73&lt;&gt;"", '2026'!D73, "")</f>
        <v/>
      </c>
      <c r="E4" s="82" t="str">
        <f>IF('2026'!E73&lt;&gt;"", '2026'!E73, "")</f>
        <v/>
      </c>
      <c r="F4" s="82" t="str">
        <f>IF('2026'!F73&lt;&gt;"", '2026'!F73, "")</f>
        <v/>
      </c>
      <c r="G4" s="82" t="str">
        <f>IF('2026'!G73&lt;&gt;"", '2026'!G73, "")</f>
        <v>BMOR</v>
      </c>
      <c r="H4" s="82" t="str">
        <f>IF('2026'!H73&lt;&gt;"", '2026'!H73, "")</f>
        <v/>
      </c>
    </row>
    <row r="5" spans="1:9" ht="14.25" x14ac:dyDescent="0.2">
      <c r="A5" s="10" t="s">
        <v>10</v>
      </c>
      <c r="B5" s="82" t="str">
        <f>IF('2026'!B74&lt;&gt;"", '2026'!B74, "")</f>
        <v/>
      </c>
      <c r="C5" s="82" t="str">
        <f>IF('2026'!C74&lt;&gt;"", '2026'!C74, "")</f>
        <v>DUKE</v>
      </c>
      <c r="D5" s="82" t="str">
        <f>IF('2026'!D74&lt;&gt;"", '2026'!D74, "")</f>
        <v/>
      </c>
      <c r="E5" s="82" t="str">
        <f>IF('2026'!E74&lt;&gt;"", '2026'!E74, "")</f>
        <v/>
      </c>
      <c r="F5" s="82" t="str">
        <f>IF('2026'!F74&lt;&gt;"", '2026'!F74, "")</f>
        <v/>
      </c>
      <c r="G5" s="82" t="str">
        <f>IF('2026'!G74&lt;&gt;"", '2026'!G74, "")</f>
        <v/>
      </c>
      <c r="H5" s="82" t="str">
        <f>IF('2026'!H74&lt;&gt;"", '2026'!H74, "")</f>
        <v/>
      </c>
    </row>
    <row r="6" spans="1:9" ht="14.25" x14ac:dyDescent="0.2">
      <c r="A6" s="10" t="s">
        <v>11</v>
      </c>
      <c r="B6" s="82" t="str">
        <f>IF('2026'!B75&lt;&gt;"", '2026'!B75, "")</f>
        <v>DUKE</v>
      </c>
      <c r="C6" s="82" t="str">
        <f>IF('2026'!C75&lt;&gt;"", '2026'!C75, "")</f>
        <v/>
      </c>
      <c r="D6" s="82" t="str">
        <f>IF('2026'!D75&lt;&gt;"", '2026'!D75, "")</f>
        <v/>
      </c>
      <c r="E6" s="82" t="str">
        <f>IF('2026'!E75&lt;&gt;"", '2026'!E75, "")</f>
        <v/>
      </c>
      <c r="F6" s="82" t="str">
        <f>IF('2026'!F75&lt;&gt;"", '2026'!F75, "")</f>
        <v/>
      </c>
      <c r="G6" s="82" t="str">
        <f>IF('2026'!G75&lt;&gt;"", '2026'!G75, "")</f>
        <v/>
      </c>
      <c r="H6" s="82" t="str">
        <f>IF('2026'!H75&lt;&gt;"", '2026'!H75, "")</f>
        <v>BMOR</v>
      </c>
    </row>
    <row r="7" spans="1:9" ht="14.25" x14ac:dyDescent="0.2">
      <c r="A7" s="10" t="s">
        <v>12</v>
      </c>
      <c r="B7" s="82" t="str">
        <f>IF('2026'!B76&lt;&gt;"", '2026'!B76, "")</f>
        <v/>
      </c>
      <c r="C7" s="82" t="str">
        <f>IF('2026'!C76&lt;&gt;"", '2026'!C76, "")</f>
        <v>HACK/RUEL</v>
      </c>
      <c r="D7" s="82" t="str">
        <f>IF('2026'!D76&lt;&gt;"", '2026'!D76, "")</f>
        <v/>
      </c>
      <c r="E7" s="82" t="str">
        <f>IF('2026'!E76&lt;&gt;"", '2026'!E76, "")</f>
        <v/>
      </c>
      <c r="F7" s="82" t="str">
        <f>IF('2026'!F76&lt;&gt;"", '2026'!F76, "")</f>
        <v/>
      </c>
      <c r="G7" s="82" t="str">
        <f>IF('2026'!G76&lt;&gt;"", '2026'!G76, "")</f>
        <v/>
      </c>
      <c r="H7" s="82" t="str">
        <f>IF('2026'!H76&lt;&gt;"", '2026'!H76, "")</f>
        <v/>
      </c>
    </row>
    <row r="8" spans="1:9" ht="14.25" x14ac:dyDescent="0.2">
      <c r="A8" s="10" t="s">
        <v>13</v>
      </c>
      <c r="B8" s="82" t="str">
        <f>IF('2026'!B77&lt;&gt;"", '2026'!B77, "")</f>
        <v/>
      </c>
      <c r="C8" s="82" t="str">
        <f>IF('2026'!C77&lt;&gt;"", '2026'!C77, "")</f>
        <v>AWIL</v>
      </c>
      <c r="D8" s="82" t="str">
        <f>IF('2026'!D77&lt;&gt;"", '2026'!D77, "")</f>
        <v/>
      </c>
      <c r="E8" s="82" t="str">
        <f>IF('2026'!E77&lt;&gt;"", '2026'!E77, "")</f>
        <v/>
      </c>
      <c r="F8" s="82" t="str">
        <f>IF('2026'!F77&lt;&gt;"", '2026'!F77, "")</f>
        <v/>
      </c>
      <c r="G8" s="82" t="str">
        <f>IF('2026'!G77&lt;&gt;"", '2026'!G77, "")</f>
        <v/>
      </c>
      <c r="H8" s="82" t="str">
        <f>IF('2026'!H77&lt;&gt;"", '2026'!H77, "")</f>
        <v/>
      </c>
    </row>
    <row r="9" spans="1:9" ht="14.25" x14ac:dyDescent="0.2">
      <c r="A9" s="10" t="s">
        <v>14</v>
      </c>
      <c r="B9" s="82" t="str">
        <f>IF('2026'!B78&lt;&gt;"", '2026'!B78, "")</f>
        <v/>
      </c>
      <c r="C9" s="82" t="str">
        <f>IF('2026'!C78&lt;&gt;"", '2026'!C78, "")</f>
        <v>AWIL</v>
      </c>
      <c r="D9" s="82" t="str">
        <f>IF('2026'!D78&lt;&gt;"", '2026'!D78, "")</f>
        <v>VASQ/MERC</v>
      </c>
      <c r="E9" s="82" t="str">
        <f>IF('2026'!E78&lt;&gt;"", '2026'!E78, "")</f>
        <v/>
      </c>
      <c r="F9" s="82" t="str">
        <f>IF('2026'!F78&lt;&gt;"", '2026'!F78, "")</f>
        <v/>
      </c>
      <c r="G9" s="82" t="str">
        <f>IF('2026'!G78&lt;&gt;"", '2026'!G78, "")</f>
        <v>JLEA/WATS</v>
      </c>
      <c r="H9" s="82" t="str">
        <f>IF('2026'!H78&lt;&gt;"", '2026'!H78, "")</f>
        <v>RUEL</v>
      </c>
    </row>
    <row r="10" spans="1:9" ht="14.25" x14ac:dyDescent="0.2">
      <c r="A10" s="10" t="s">
        <v>15</v>
      </c>
      <c r="B10" s="82" t="str">
        <f>IF('2026'!B79&lt;&gt;"", '2026'!B79, "")</f>
        <v/>
      </c>
      <c r="C10" s="82" t="str">
        <f>IF('2026'!C79&lt;&gt;"", '2026'!C79, "")</f>
        <v/>
      </c>
      <c r="D10" s="82" t="str">
        <f>IF('2026'!D79&lt;&gt;"", '2026'!D79, "")</f>
        <v/>
      </c>
      <c r="E10" s="82" t="str">
        <f>IF('2026'!E79&lt;&gt;"", '2026'!E79, "")</f>
        <v/>
      </c>
      <c r="F10" s="82" t="str">
        <f>IF('2026'!F79&lt;&gt;"", '2026'!F79, "")</f>
        <v/>
      </c>
      <c r="G10" s="82" t="str">
        <f>IF('2026'!G79&lt;&gt;"", '2026'!G79, "")</f>
        <v>VASQ</v>
      </c>
      <c r="H10" s="82" t="str">
        <f>IF('2026'!H79&lt;&gt;"", '2026'!H79, "")</f>
        <v>MERC</v>
      </c>
    </row>
    <row r="11" spans="1:9" ht="14.25" x14ac:dyDescent="0.2">
      <c r="A11" s="10" t="s">
        <v>16</v>
      </c>
      <c r="B11" s="82" t="str">
        <f>IF('2026'!B80&lt;&gt;"", '2026'!B80, "")</f>
        <v/>
      </c>
      <c r="C11" s="82" t="str">
        <f>IF('2026'!C80&lt;&gt;"", '2026'!C80, "")</f>
        <v/>
      </c>
      <c r="D11" s="82" t="str">
        <f>IF('2026'!D80&lt;&gt;"", '2026'!D80, "")</f>
        <v/>
      </c>
      <c r="E11" s="82" t="str">
        <f>IF('2026'!E80&lt;&gt;"", '2026'!E80, "")</f>
        <v/>
      </c>
      <c r="F11" s="82" t="str">
        <f>IF('2026'!F80&lt;&gt;"", '2026'!F80, "")</f>
        <v/>
      </c>
      <c r="G11" s="82" t="str">
        <f>IF('2026'!G80&lt;&gt;"", '2026'!G80, "")</f>
        <v>SCOT/OCHO</v>
      </c>
      <c r="H11" s="82" t="str">
        <f>IF('2026'!H80&lt;&gt;"", '2026'!H80, "")</f>
        <v/>
      </c>
    </row>
    <row r="12" spans="1:9" ht="14.25" x14ac:dyDescent="0.2">
      <c r="A12" s="10" t="s">
        <v>17</v>
      </c>
      <c r="B12" s="82" t="str">
        <f>IF('2026'!B81&lt;&gt;"", '2026'!B81, "")</f>
        <v>VASQ/MERC</v>
      </c>
      <c r="C12" s="82" t="str">
        <f>IF('2026'!C81&lt;&gt;"", '2026'!C81, "")</f>
        <v/>
      </c>
      <c r="D12" s="82" t="str">
        <f>IF('2026'!D81&lt;&gt;"", '2026'!D81, "")</f>
        <v>SCOT/OCHO</v>
      </c>
      <c r="E12" s="82" t="str">
        <f>IF('2026'!E81&lt;&gt;"", '2026'!E81, "")</f>
        <v/>
      </c>
      <c r="F12" s="82" t="str">
        <f>IF('2026'!F81&lt;&gt;"", '2026'!F81, "")</f>
        <v/>
      </c>
      <c r="G12" s="82" t="str">
        <f>IF('2026'!G81&lt;&gt;"", '2026'!G81, "")</f>
        <v/>
      </c>
      <c r="H12" s="82" t="str">
        <f>IF('2026'!H81&lt;&gt;"", '2026'!H81, "")</f>
        <v>WATS</v>
      </c>
    </row>
    <row r="13" spans="1:9" ht="14.25" x14ac:dyDescent="0.2">
      <c r="A13" s="10" t="s">
        <v>18</v>
      </c>
      <c r="B13" s="82" t="str">
        <f>IF('2026'!B82&lt;&gt;"", '2026'!B82, "")</f>
        <v/>
      </c>
      <c r="C13" s="82" t="str">
        <f>IF('2026'!C82&lt;&gt;"", '2026'!C82, "")</f>
        <v>SCOT/OCHO</v>
      </c>
      <c r="D13" s="82" t="str">
        <f>IF('2026'!D82&lt;&gt;"", '2026'!D82, "")</f>
        <v/>
      </c>
      <c r="E13" s="82" t="str">
        <f>IF('2026'!E82&lt;&gt;"", '2026'!E82, "")</f>
        <v/>
      </c>
      <c r="F13" s="82" t="str">
        <f>IF('2026'!F82&lt;&gt;"", '2026'!F82, "")</f>
        <v>VASQ/MERC</v>
      </c>
      <c r="G13" s="82" t="str">
        <f>IF('2026'!G82&lt;&gt;"", '2026'!G82, "")</f>
        <v/>
      </c>
      <c r="H13" s="82" t="str">
        <f>IF('2026'!H82&lt;&gt;"", '2026'!H82, "")</f>
        <v/>
      </c>
    </row>
    <row r="14" spans="1:9" ht="13.5" customHeight="1" x14ac:dyDescent="0.2">
      <c r="A14" s="52" t="s">
        <v>20</v>
      </c>
      <c r="B14" s="52" t="s">
        <v>21</v>
      </c>
      <c r="C14" s="52" t="s">
        <v>22</v>
      </c>
      <c r="D14" s="53" t="s">
        <v>19</v>
      </c>
      <c r="E14" s="52" t="s">
        <v>24</v>
      </c>
      <c r="F14" s="61"/>
      <c r="G14" s="61"/>
      <c r="H14" s="61"/>
    </row>
    <row r="15" spans="1:9" ht="13.5" customHeight="1" x14ac:dyDescent="0.2">
      <c r="A15" s="55" t="str" cm="1">
        <f t="array" ref="A15">IFERROR(INDEX(A_SHIFT_ESDS,1),"")</f>
        <v>Lydia Valdez</v>
      </c>
      <c r="B15" s="54" t="str" cm="1">
        <f t="array" ref="B15">IFERROR(INDEX(B_SHIFT_ESDS,1),"")</f>
        <v>Tania Keller</v>
      </c>
      <c r="C15" s="54" t="str" cm="1">
        <f t="array" ref="C15">IFERROR(INDEX(C_SHIFT_ESDS,1),"")</f>
        <v>Allison Carter</v>
      </c>
      <c r="D15" s="54" t="str" cm="1">
        <f t="array" ref="D15">IFERROR(INDEX(E_SHIFT_ESDS,1),"")</f>
        <v>Jessica Leatherwood</v>
      </c>
      <c r="E15" s="54" t="str" cm="1">
        <f t="array" ref="E15">IFERROR(INDEX(F_SHIFT_ESDS,1),"")</f>
        <v>Susan Miller</v>
      </c>
      <c r="F15" s="61"/>
      <c r="G15" s="62"/>
      <c r="I15" s="63"/>
    </row>
    <row r="16" spans="1:9" ht="13.5" customHeight="1" x14ac:dyDescent="0.2">
      <c r="A16" s="55" t="str" cm="1">
        <f t="array" ref="A16">IFERROR(INDEX(A_SHIFT_ESDS,2),"")</f>
        <v>Cheri Smith</v>
      </c>
      <c r="B16" s="54" t="str" cm="1">
        <f t="array" ref="B16">IFERROR(INDEX(B_SHIFT_ESDS,2),"")</f>
        <v>Suzette Schlundt</v>
      </c>
      <c r="C16" s="54" t="str" cm="1">
        <f t="array" ref="C16">IFERROR(INDEX(C_SHIFT_ESDS,2),"")</f>
        <v>Ami Muro</v>
      </c>
      <c r="D16" s="54" t="str" cm="1">
        <f t="array" ref="D16">IFERROR(INDEX(E_SHIFT_ESDS,2),"")</f>
        <v>Sarah Ringer</v>
      </c>
      <c r="E16" s="54" t="str" cm="1">
        <f t="array" ref="E16">IFERROR(INDEX(F_SHIFT_ESDS,2),"")</f>
        <v xml:space="preserve">Tami Worden     </v>
      </c>
      <c r="G16" s="13"/>
    </row>
    <row r="17" spans="1:8" ht="13.5" customHeight="1" x14ac:dyDescent="0.2">
      <c r="A17" s="55" t="str" cm="1">
        <f t="array" ref="A17">IFERROR(INDEX(A_SHIFT_ESDS,3),"")</f>
        <v>Patty O’Grady</v>
      </c>
      <c r="B17" s="54" t="str" cm="1">
        <f t="array" ref="B17">IFERROR(INDEX(B_SHIFT_ESDS,3),"")</f>
        <v>Brenda Morgantini</v>
      </c>
      <c r="C17" s="54" t="str" cm="1">
        <f t="array" ref="C17">IFERROR(INDEX(C_SHIFT_ESDS,3),"")</f>
        <v>Mathew Hackney</v>
      </c>
      <c r="D17" s="54" t="str" cm="1">
        <f t="array" ref="D17">IFERROR(INDEX(E_SHIFT_ESDS,3),"")</f>
        <v>Nozomi Vasquez</v>
      </c>
      <c r="E17" s="54" t="str" cm="1">
        <f t="array" ref="E17">IFERROR(INDEX(F_SHIFT_ESDS,3),"")</f>
        <v>Nyia Vang</v>
      </c>
      <c r="G17" s="13"/>
    </row>
    <row r="18" spans="1:8" ht="13.5" customHeight="1" x14ac:dyDescent="0.2">
      <c r="A18" s="55" t="str" cm="1">
        <f t="array" ref="A18">IFERROR(INDEX(A_SHIFT_ESDS,4),"")</f>
        <v>Matt Sonderegger</v>
      </c>
      <c r="B18" s="54" t="str" cm="1">
        <f t="array" ref="B18">IFERROR(INDEX(B_SHIFT_ESDS,4),"")</f>
        <v>Zer Yang</v>
      </c>
      <c r="C18" s="54" t="str" cm="1">
        <f t="array" ref="C18">IFERROR(INDEX(C_SHIFT_ESDS,4),"")</f>
        <v>Sofia Ruelas</v>
      </c>
      <c r="D18" s="54" t="str" cm="1">
        <f t="array" ref="D18">IFERROR(INDEX(E_SHIFT_ESDS,4),"")</f>
        <v>Kelly Wiens</v>
      </c>
      <c r="E18" s="54" t="str" cm="1">
        <f t="array" ref="E18">IFERROR(INDEX(F_SHIFT_ESDS,4),"")</f>
        <v>Elexis Scott</v>
      </c>
      <c r="G18" s="86" t="s">
        <v>151</v>
      </c>
      <c r="H18" s="86"/>
    </row>
    <row r="19" spans="1:8" ht="13.5" customHeight="1" x14ac:dyDescent="0.2">
      <c r="A19" s="55" t="str" cm="1">
        <f t="array" ref="A19">IFERROR(INDEX(A_SHIFT_ESDS,5),"")</f>
        <v>Lorraine Flenory</v>
      </c>
      <c r="B19" s="54" t="str" cm="1">
        <f t="array" ref="B19">IFERROR(INDEX(B_SHIFT_ESDS,5),"")</f>
        <v>Rina Rosales</v>
      </c>
      <c r="C19" s="54" cm="1">
        <f t="array" ref="C19">IFERROR(INDEX(C_SHIFT_ESDS,5),"")</f>
        <v>0</v>
      </c>
      <c r="D19" s="54" t="str" cm="1">
        <f t="array" ref="D19">IFERROR(INDEX(E_SHIFT_ESDS,5),"")</f>
        <v>Melissa Joint</v>
      </c>
      <c r="E19" s="54" t="str" cm="1">
        <f t="array" ref="E19">IFERROR(INDEX(F_SHIFT_ESDS,5),"")</f>
        <v>Lauren Lilly</v>
      </c>
      <c r="F19" s="74">
        <v>730</v>
      </c>
      <c r="G19" s="56"/>
      <c r="H19" s="23"/>
    </row>
    <row r="20" spans="1:8" ht="13.5" customHeight="1" x14ac:dyDescent="0.2">
      <c r="A20" s="55" t="str" cm="1">
        <f t="array" ref="A20">IFERROR(INDEX(A_SHIFT_ESDS,6),"")</f>
        <v>Jodi Garland</v>
      </c>
      <c r="B20" s="54" t="str" cm="1">
        <f t="array" ref="B20">IFERROR(INDEX(B_SHIFT_ESDS,6),"")</f>
        <v>Norma Garvey</v>
      </c>
      <c r="C20" s="54" cm="1">
        <f t="array" ref="C20">IFERROR(INDEX(C_SHIFT_ESDS,6),"")</f>
        <v>0</v>
      </c>
      <c r="D20" s="54" t="str" cm="1">
        <f t="array" ref="D20">IFERROR(INDEX(E_SHIFT_ESDS,6),"")</f>
        <v>Bianca Hernandez</v>
      </c>
      <c r="E20" s="54" t="str" cm="1">
        <f t="array" ref="E20">IFERROR(INDEX(F_SHIFT_ESDS,6),"")</f>
        <v>Kimberly Lott</v>
      </c>
      <c r="F20" s="74">
        <v>930</v>
      </c>
      <c r="G20" s="56"/>
      <c r="H20" s="23"/>
    </row>
    <row r="21" spans="1:8" ht="13.5" customHeight="1" x14ac:dyDescent="0.2">
      <c r="A21" s="55" t="str" cm="1">
        <f t="array" ref="A21">IFERROR(INDEX(A_SHIFT_ESDS,7),"")</f>
        <v>Monica Ramirez</v>
      </c>
      <c r="B21" s="54" t="str" cm="1">
        <f t="array" ref="B21">IFERROR(INDEX(B_SHIFT_ESDS,7),"")</f>
        <v>Lori Brown</v>
      </c>
      <c r="C21" s="54" cm="1">
        <f t="array" ref="C21">IFERROR(INDEX(C_SHIFT_ESDS,7),"")</f>
        <v>0</v>
      </c>
      <c r="D21" s="54" t="str" cm="1">
        <f t="array" ref="D21">IFERROR(INDEX(E_SHIFT_ESDS,7),"")</f>
        <v>Paola Barrientos</v>
      </c>
      <c r="E21" s="54" t="str" cm="1">
        <f t="array" ref="E21">IFERROR(INDEX(F_SHIFT_ESDS,7),"")</f>
        <v>Mariah Rosales</v>
      </c>
      <c r="F21" s="56">
        <v>1130</v>
      </c>
      <c r="G21" s="56"/>
      <c r="H21" s="23"/>
    </row>
    <row r="22" spans="1:8" ht="13.5" customHeight="1" x14ac:dyDescent="0.2">
      <c r="A22" s="55" t="str" cm="1">
        <f t="array" ref="A22">IFERROR(INDEX(A_SHIFT_ESDS,8),"")</f>
        <v>Jamielyn Shwetzer</v>
      </c>
      <c r="B22" s="54" t="str" cm="1">
        <f t="array" ref="B22">IFERROR(INDEX(B_SHIFT_ESDS,8),"")</f>
        <v xml:space="preserve">Heidi Roberts </v>
      </c>
      <c r="C22" s="54" cm="1">
        <f t="array" ref="C22">IFERROR(INDEX(C_SHIFT_ESDS,8),"")</f>
        <v>0</v>
      </c>
      <c r="D22" s="54" t="str" cm="1">
        <f t="array" ref="D22">IFERROR(INDEX(E_SHIFT_ESDS,8),"")</f>
        <v>Jason Yang</v>
      </c>
      <c r="E22" s="54" t="str" cm="1">
        <f t="array" ref="E22">IFERROR(INDEX(F_SHIFT_ESDS,8),"")</f>
        <v>Raquel Salazar</v>
      </c>
      <c r="F22" s="56">
        <v>1330</v>
      </c>
      <c r="G22" s="56"/>
      <c r="H22" s="23"/>
    </row>
    <row r="23" spans="1:8" ht="13.5" customHeight="1" x14ac:dyDescent="0.2">
      <c r="A23" s="55" t="str" cm="1">
        <f t="array" ref="A23">IFERROR(INDEX(A_SHIFT_ESDS,9),"")</f>
        <v>Valeria Guzman</v>
      </c>
      <c r="B23" s="54" t="str" cm="1">
        <f t="array" ref="B23">IFERROR(INDEX(B_SHIFT_ESDS,9),"")</f>
        <v>Rebekah Isquierdo</v>
      </c>
      <c r="C23" s="54" cm="1">
        <f t="array" ref="C23">IFERROR(INDEX(C_SHIFT_ESDS,9),"")</f>
        <v>0</v>
      </c>
      <c r="D23" s="54" t="str" cm="1">
        <f t="array" ref="D23">IFERROR(INDEX(E_SHIFT_ESDS,9),"")</f>
        <v>Adrienne Rodriguez</v>
      </c>
      <c r="E23" s="54" t="str" cm="1">
        <f t="array" ref="E23">IFERROR(INDEX(F_SHIFT_ESDS,9),"")</f>
        <v>Jorge Alcorn</v>
      </c>
      <c r="F23" s="56">
        <v>1530</v>
      </c>
      <c r="G23" s="56"/>
      <c r="H23" s="23"/>
    </row>
    <row r="24" spans="1:8" ht="13.5" customHeight="1" x14ac:dyDescent="0.2">
      <c r="A24" s="55" t="str" cm="1">
        <f t="array" ref="A24">IFERROR(INDEX(A_SHIFT_ESDS,10),"")</f>
        <v>Mindy Mcclung</v>
      </c>
      <c r="B24" s="54" t="str" cm="1">
        <f t="array" ref="B24">IFERROR(INDEX(B_SHIFT_ESDS,10),"")</f>
        <v>Darlene Foell</v>
      </c>
      <c r="C24" s="54" cm="1">
        <f t="array" ref="C24">IFERROR(INDEX(C_SHIFT_ESDS,10),"")</f>
        <v>0</v>
      </c>
      <c r="D24" s="54" t="str" cm="1">
        <f t="array" ref="D24">IFERROR(INDEX(E_SHIFT_ESDS,10),"")</f>
        <v>Adriana Dedios</v>
      </c>
      <c r="E24" s="54" t="str" cm="1">
        <f t="array" ref="E24">IFERROR(INDEX(F_SHIFT_ESDS,10),"")</f>
        <v>Jasmine Gomez</v>
      </c>
      <c r="F24" s="56">
        <v>1730</v>
      </c>
      <c r="G24" s="56"/>
      <c r="H24" s="23"/>
    </row>
    <row r="25" spans="1:8" ht="13.5" customHeight="1" x14ac:dyDescent="0.2">
      <c r="A25" s="55" t="str" cm="1">
        <f t="array" ref="A25">IFERROR(INDEX(A_SHIFT_ESDS,11),"")</f>
        <v>Alexis Yandell</v>
      </c>
      <c r="B25" s="54" t="str" cm="1">
        <f t="array" ref="B25">IFERROR(INDEX(B_SHIFT_ESDS,11),"")</f>
        <v>Markey Blankenship</v>
      </c>
      <c r="C25" s="54" cm="1">
        <f t="array" ref="C25">IFERROR(INDEX(C_SHIFT_ESDS,11),"")</f>
        <v>0</v>
      </c>
      <c r="D25" s="54" t="str" cm="1">
        <f t="array" ref="D25">IFERROR(INDEX(E_SHIFT_ESDS,11),"")</f>
        <v>Dulcivet Garcia</v>
      </c>
      <c r="E25" s="54" t="str" cm="1">
        <f t="array" ref="E25">IFERROR(INDEX(F_SHIFT_ESDS,11),"")</f>
        <v>April Ponce</v>
      </c>
      <c r="F25" s="74">
        <v>1930</v>
      </c>
      <c r="G25" s="56"/>
      <c r="H25" s="23"/>
    </row>
    <row r="26" spans="1:8" ht="13.5" customHeight="1" x14ac:dyDescent="0.2">
      <c r="A26" s="55" t="str" cm="1">
        <f t="array" ref="A26">IFERROR(INDEX(A_SHIFT_ESDS,12),"")</f>
        <v>Marrie Sip</v>
      </c>
      <c r="B26" s="54" t="str" cm="1">
        <f t="array" ref="B26">IFERROR(INDEX(B_SHIFT_ESDS,12),"")</f>
        <v>Sonam Carter</v>
      </c>
      <c r="C26" s="54" cm="1">
        <f t="array" ref="C26">IFERROR(INDEX(C_SHIFT_ESDS,12),"")</f>
        <v>0</v>
      </c>
      <c r="D26" s="54" t="str" cm="1">
        <f t="array" ref="D26">IFERROR(INDEX(E_SHIFT_ESDS,12),"")</f>
        <v>Susie Amezcua</v>
      </c>
      <c r="E26" s="54" t="str" cm="1">
        <f t="array" ref="E26">IFERROR(INDEX(F_SHIFT_ESDS,12),"")</f>
        <v>Curt Barrow</v>
      </c>
      <c r="F26" s="74">
        <v>2130</v>
      </c>
      <c r="G26" s="56"/>
      <c r="H26" s="23"/>
    </row>
    <row r="27" spans="1:8" ht="13.5" customHeight="1" x14ac:dyDescent="0.2">
      <c r="A27" s="55" t="str" cm="1">
        <f t="array" ref="A27">IFERROR(INDEX(A_SHIFT_ESDS,13),"")</f>
        <v>Chelsea Meave</v>
      </c>
      <c r="B27" s="54" t="str" cm="1">
        <f t="array" ref="B27">IFERROR(INDEX(B_SHIFT_ESDS,13),"")</f>
        <v xml:space="preserve">Jessica Dukes </v>
      </c>
      <c r="C27" s="54" cm="1">
        <f t="array" ref="C27">IFERROR(INDEX(C_SHIFT_ESDS,13),"")</f>
        <v>0</v>
      </c>
      <c r="D27" s="54" t="str" cm="1">
        <f t="array" ref="D27">IFERROR(INDEX(E_SHIFT_ESDS,13),"")</f>
        <v>Nathanly Rodriguez</v>
      </c>
      <c r="E27" s="54" t="str" cm="1">
        <f t="array" ref="E27">IFERROR(INDEX(F_SHIFT_ESDS,13),"")</f>
        <v>Stephanie Rojas</v>
      </c>
      <c r="F27" s="74">
        <v>2330</v>
      </c>
      <c r="G27" s="56"/>
      <c r="H27" s="23"/>
    </row>
    <row r="28" spans="1:8" ht="13.5" customHeight="1" x14ac:dyDescent="0.2">
      <c r="A28" s="55" t="str" cm="1">
        <f t="array" ref="A28">IFERROR(INDEX(A_SHIFT_ESDS,14),"")</f>
        <v>Gwen Anzaldo</v>
      </c>
      <c r="B28" s="54" t="str" cm="1">
        <f t="array" ref="B28">IFERROR(INDEX(B_SHIFT_ESDS,14),"")</f>
        <v xml:space="preserve">Sarah Fraley </v>
      </c>
      <c r="C28" s="54" cm="1">
        <f t="array" ref="C28">IFERROR(INDEX(C_SHIFT_ESDS,14),"")</f>
        <v>0</v>
      </c>
      <c r="D28" s="54" t="str" cm="1">
        <f t="array" ref="D28">IFERROR(INDEX(E_SHIFT_ESDS,14),"")</f>
        <v>Akilah Mccullough</v>
      </c>
      <c r="E28" s="54" t="str" cm="1">
        <f t="array" ref="E28">IFERROR(INDEX(F_SHIFT_ESDS,14),"")</f>
        <v>Mark Teixeira</v>
      </c>
      <c r="F28" s="56">
        <v>130</v>
      </c>
      <c r="G28" s="56"/>
      <c r="H28" s="23"/>
    </row>
    <row r="29" spans="1:8" ht="13.5" customHeight="1" x14ac:dyDescent="0.2">
      <c r="A29" s="55" t="str" cm="1">
        <f t="array" ref="A29">IFERROR(INDEX(A_SHIFT_ESDS,15),"")</f>
        <v>Robert Noriega</v>
      </c>
      <c r="B29" s="54" t="str" cm="1">
        <f t="array" ref="B29">IFERROR(INDEX(B_SHIFT_ESDS,15),"")</f>
        <v>Josephine Botello</v>
      </c>
      <c r="C29" s="54" cm="1">
        <f t="array" ref="C29">IFERROR(INDEX(C_SHIFT_ESDS,15),"")</f>
        <v>0</v>
      </c>
      <c r="D29" s="54" t="str" cm="1">
        <f t="array" ref="D29">IFERROR(INDEX(E_SHIFT_ESDS,15),"")</f>
        <v>Allyson Trevino</v>
      </c>
      <c r="E29" s="54" t="str" cm="1">
        <f t="array" ref="E29">IFERROR(INDEX(F_SHIFT_ESDS,15),"")</f>
        <v>Edie Ochoa</v>
      </c>
      <c r="G29" s="100" t="s">
        <v>166</v>
      </c>
      <c r="H29" s="100"/>
    </row>
    <row r="30" spans="1:8" ht="13.5" customHeight="1" x14ac:dyDescent="0.2">
      <c r="A30" s="55" cm="1">
        <f t="array" ref="A30">IFERROR(INDEX(A_SHIFT_ESDS,16),"")</f>
        <v>0</v>
      </c>
      <c r="B30" s="54" t="str" cm="1">
        <f t="array" ref="B30">IFERROR(INDEX(B_SHIFT_ESDS,16),"")</f>
        <v>Maribel Escareno</v>
      </c>
      <c r="C30" s="54"/>
      <c r="D30" s="54" t="str" cm="1">
        <f t="array" ref="D30">IFERROR(INDEX(E_SHIFT_ESDS,16),"")</f>
        <v>Jessica Cardoza</v>
      </c>
      <c r="E30" s="54" cm="1">
        <f t="array" ref="E30">IFERROR(INDEX(F_SHIFT_ESDS,16),"")</f>
        <v>0</v>
      </c>
      <c r="G30" s="74">
        <v>1530</v>
      </c>
      <c r="H30" s="75" t="str">
        <f>IF('2026'!I77&lt;&gt;"", '2026'!I77, "")</f>
        <v/>
      </c>
    </row>
    <row r="31" spans="1:8" ht="13.5" customHeight="1" x14ac:dyDescent="0.2">
      <c r="A31" s="55" cm="1">
        <f t="array" ref="A31">IFERROR(INDEX(A_SHIFT_ESDS,17),"")</f>
        <v>0</v>
      </c>
      <c r="B31" s="54" t="str" cm="1">
        <f t="array" ref="B31">IFERROR(INDEX(B_SHIFT_ESDS,17),"")</f>
        <v>Kyler Lorin</v>
      </c>
      <c r="C31" s="54"/>
      <c r="D31" s="54" t="str" cm="1">
        <f t="array" ref="D31">IFERROR(INDEX(E_SHIFT_ESDS,17),"")</f>
        <v>Jesse Jimenez</v>
      </c>
      <c r="E31" s="54" cm="1">
        <f t="array" ref="E31">IFERROR(INDEX(F_SHIFT_ESDS,17),"")</f>
        <v>0</v>
      </c>
      <c r="F31" s="58"/>
      <c r="G31" s="74">
        <v>1730</v>
      </c>
      <c r="H31" s="75" t="str">
        <f>IF('2026'!I78&lt;&gt;"", '2026'!I78, "")</f>
        <v/>
      </c>
    </row>
    <row r="32" spans="1:8" ht="13.5" customHeight="1" x14ac:dyDescent="0.2">
      <c r="A32" s="55" cm="1">
        <f t="array" ref="A32">IFERROR(INDEX(A_SHIFT_ESDS,18),"")</f>
        <v>0</v>
      </c>
      <c r="B32" s="54" t="str" cm="1">
        <f t="array" ref="B32">IFERROR(INDEX(B_SHIFT_ESDS,18),"")</f>
        <v>Eric Uribe</v>
      </c>
      <c r="C32" s="54"/>
      <c r="D32" s="54" t="str" cm="1">
        <f t="array" ref="D32">IFERROR(INDEX(E_SHIFT_ESDS,18),"")</f>
        <v>Cicaly Cruz</v>
      </c>
      <c r="E32" s="54" cm="1">
        <f t="array" ref="E32">IFERROR(INDEX(F_SHIFT_ESDS,18),"")</f>
        <v>0</v>
      </c>
      <c r="G32" s="74">
        <v>1930</v>
      </c>
      <c r="H32" s="75" t="str">
        <f>IF('2026'!I79&lt;&gt;"", '2026'!I79, "")</f>
        <v/>
      </c>
    </row>
    <row r="33" spans="1:8" ht="13.5" customHeight="1" x14ac:dyDescent="0.2">
      <c r="A33" s="55" cm="1">
        <f t="array" ref="A33">IFERROR(INDEX(A_SHIFT_ESDS,19),"")</f>
        <v>0</v>
      </c>
      <c r="B33" s="54" t="str" cm="1">
        <f t="array" ref="B33">IFERROR(INDEX(B_SHIFT_ESDS,19),"")</f>
        <v>Melina Davila</v>
      </c>
      <c r="C33" s="54"/>
      <c r="D33" s="54" t="str" cm="1">
        <f t="array" ref="D33">IFERROR(INDEX(E_SHIFT_ESDS,19),"")</f>
        <v>Cassidy Voudry</v>
      </c>
      <c r="E33" s="54" cm="1">
        <f t="array" ref="E33">IFERROR(INDEX(F_SHIFT_ESDS,19),"")</f>
        <v>0</v>
      </c>
      <c r="G33" s="74">
        <v>2130</v>
      </c>
      <c r="H33" s="75" t="str">
        <f>IF('2026'!I80&lt;&gt;"", '2026'!I80, "")</f>
        <v/>
      </c>
    </row>
    <row r="34" spans="1:8" ht="13.5" customHeight="1" x14ac:dyDescent="0.2">
      <c r="A34" s="55" cm="1">
        <f t="array" ref="A34">IFERROR(INDEX(A_SHIFT_ESDS,20),"")</f>
        <v>0</v>
      </c>
      <c r="B34" s="54" t="str" cm="1">
        <f t="array" ref="B34">IFERROR(INDEX(B_SHIFT_ESDS,20),"")</f>
        <v>Jose Lopez</v>
      </c>
      <c r="C34" s="54"/>
      <c r="D34" s="54" t="str" cm="1">
        <f t="array" ref="D34">IFERROR(INDEX(E_SHIFT_ESDS,20),"")</f>
        <v>Kanong Lee</v>
      </c>
      <c r="E34" s="54" cm="1">
        <f t="array" ref="E34">IFERROR(INDEX(F_SHIFT_ESDS,20),"")</f>
        <v>0</v>
      </c>
      <c r="G34" s="74">
        <v>2330</v>
      </c>
      <c r="H34" s="75" t="str">
        <f>IF('2026'!I81&lt;&gt;"", '2026'!I81, "")</f>
        <v/>
      </c>
    </row>
    <row r="35" spans="1:8" ht="13.5" customHeight="1" x14ac:dyDescent="0.2">
      <c r="A35" s="55" cm="1">
        <f t="array" ref="A35">IFERROR(INDEX(A_SHIFT_ESDS,21),"")</f>
        <v>0</v>
      </c>
      <c r="B35" s="54" t="str" cm="1">
        <f t="array" ref="B35">IFERROR(INDEX(B_SHIFT_ESDS,21),"")</f>
        <v>Brenda Basulto</v>
      </c>
      <c r="C35" s="54"/>
      <c r="D35" s="54" t="str" cm="1">
        <f t="array" ref="D35">IFERROR(INDEX(E_SHIFT_ESDS,21),"")</f>
        <v>Delaney Boyd-Escobedo</v>
      </c>
      <c r="E35" s="54" cm="1">
        <f t="array" ref="E35">IFERROR(INDEX(F_SHIFT_ESDS,21),"")</f>
        <v>0</v>
      </c>
      <c r="G35" s="74">
        <v>130</v>
      </c>
      <c r="H35" s="75" t="str">
        <f>IF('2026'!I82&lt;&gt;"", '2026'!I82, "")</f>
        <v/>
      </c>
    </row>
    <row r="36" spans="1:8" ht="12.2" customHeight="1" x14ac:dyDescent="0.25">
      <c r="A36" s="54"/>
      <c r="B36" s="54" t="str" cm="1">
        <f t="array" ref="B36">IFERROR(INDEX(B_SHIFT_ESDS,22),"")</f>
        <v>Vanessa Mercado</v>
      </c>
      <c r="C36" s="52" t="s">
        <v>37</v>
      </c>
      <c r="D36" s="54" t="str" cm="1">
        <f t="array" ref="D36">IFERROR(INDEX(E_SHIFT_ESDS,22),"")</f>
        <v>Jackeline Carreon</v>
      </c>
      <c r="E36" s="54" cm="1">
        <f t="array" ref="E36">IFERROR(INDEX(F_SHIFT_ESDS,22),"")</f>
        <v>0</v>
      </c>
      <c r="G36" s="84"/>
      <c r="H36" s="85"/>
    </row>
    <row r="37" spans="1:8" ht="12.2" customHeight="1" x14ac:dyDescent="0.25">
      <c r="A37" s="54"/>
      <c r="B37" s="54" cm="1">
        <f t="array" ref="B37">IFERROR(INDEX(B_SHIFT_ESDS,23),"")</f>
        <v>0</v>
      </c>
      <c r="C37" s="54" t="str" cm="1">
        <f t="array" ref="C37">IFERROR(INDEX(D_SHIFT_ESDS,1),"")</f>
        <v>May Yen Yang</v>
      </c>
      <c r="D37" s="54" t="str" cm="1">
        <f t="array" ref="D37">IFERROR(INDEX(E_SHIFT_ESDS,23),"")</f>
        <v>Leanne Heslep</v>
      </c>
      <c r="E37" s="54" cm="1">
        <f t="array" ref="E37">IFERROR(INDEX(F_SHIFT_ESDS,23),"")</f>
        <v>0</v>
      </c>
      <c r="F37" s="65"/>
      <c r="G37" s="59" t="s">
        <v>114</v>
      </c>
      <c r="H37" s="60"/>
    </row>
    <row r="38" spans="1:8" ht="12.2" customHeight="1" x14ac:dyDescent="0.2">
      <c r="A38" s="54"/>
      <c r="B38" s="54" cm="1">
        <f t="array" ref="B38">IFERROR(INDEX(B_SHIFT_ESDS,24),"")</f>
        <v>0</v>
      </c>
      <c r="C38" s="54" t="str" cm="1">
        <f t="array" ref="C38">IFERROR(INDEX(D_SHIFT_ESDS,2),"")</f>
        <v>Lydia Martinez</v>
      </c>
      <c r="D38" s="54" t="str" cm="1">
        <f t="array" ref="D38">IFERROR(INDEX(E_SHIFT_ESDS,24),"")</f>
        <v xml:space="preserve">Brittany Watson </v>
      </c>
      <c r="E38" s="54" cm="1">
        <f t="array" ref="E38">IFERROR(INDEX(F_SHIFT_ESDS,24),"")</f>
        <v>0</v>
      </c>
      <c r="G38" s="59" t="s">
        <v>18</v>
      </c>
      <c r="H38" s="60"/>
    </row>
    <row r="39" spans="1:8" ht="12.2" customHeight="1" x14ac:dyDescent="0.25">
      <c r="A39" s="54"/>
      <c r="B39" s="54" cm="1">
        <f t="array" ref="B39">IFERROR(INDEX(B_SHIFT_ESDS,25),"")</f>
        <v>0</v>
      </c>
      <c r="C39" s="54" t="str" cm="1">
        <f t="array" ref="C39">IFERROR(INDEX(D_SHIFT_ESDS,3),"")</f>
        <v>Amanda Willis</v>
      </c>
      <c r="D39" s="54" cm="1">
        <f t="array" ref="D39">IFERROR(INDEX(E_SHIFT_ESDS,25),"")</f>
        <v>0</v>
      </c>
      <c r="E39" s="54"/>
      <c r="F39" s="65"/>
      <c r="G39" s="59" t="s">
        <v>7</v>
      </c>
      <c r="H39" s="60"/>
    </row>
    <row r="40" spans="1:8" ht="12.2" customHeight="1" x14ac:dyDescent="0.2">
      <c r="A40" s="54"/>
      <c r="B40" s="54" cm="1">
        <f t="array" ref="B40">IFERROR(INDEX(B_SHIFT_ESDS,26),"")</f>
        <v>0</v>
      </c>
      <c r="C40" s="54" t="str" cm="1">
        <f t="array" ref="C40">IFERROR(INDEX(D_SHIFT_ESDS,4),"")</f>
        <v>Maria Jones</v>
      </c>
      <c r="D40" s="54" cm="1">
        <f t="array" ref="D40">IFERROR(INDEX(E_SHIFT_ESDS,26),"")</f>
        <v>0</v>
      </c>
      <c r="E40" s="54"/>
      <c r="F40" s="61"/>
      <c r="G40" s="59" t="s">
        <v>8</v>
      </c>
      <c r="H40" s="60"/>
    </row>
    <row r="41" spans="1:8" ht="12.2" customHeight="1" x14ac:dyDescent="0.2">
      <c r="A41" s="54"/>
      <c r="B41" s="54" cm="1">
        <f t="array" ref="B41">IFERROR(INDEX(B_SHIFT_ESDS,27),"")</f>
        <v>0</v>
      </c>
      <c r="C41" s="54" t="str" cm="1">
        <f t="array" ref="C41">IFERROR(INDEX(D_SHIFT_ESDS,5),"")</f>
        <v>Shadon Riahizadeh</v>
      </c>
      <c r="D41" s="54" cm="1">
        <f t="array" ref="D41">IFERROR(INDEX(E_SHIFT_ESDS,27),"")</f>
        <v>0</v>
      </c>
      <c r="E41" s="54"/>
      <c r="F41" s="61"/>
      <c r="G41" s="61"/>
      <c r="H41" s="61"/>
    </row>
    <row r="42" spans="1:8" ht="12.2" customHeight="1" x14ac:dyDescent="0.2">
      <c r="A42" s="54"/>
      <c r="B42" s="54" cm="1">
        <f t="array" ref="B42">IFERROR(INDEX(B_SHIFT_ESDS,28),"")</f>
        <v>0</v>
      </c>
      <c r="C42" s="54" t="str" cm="1">
        <f t="array" ref="C42">IFERROR(INDEX(D_SHIFT_ESDS,6),"")</f>
        <v>Danielle Parre</v>
      </c>
      <c r="D42" s="54" cm="1">
        <f t="array" ref="D42">IFERROR(INDEX(E_SHIFT_ESDS,28),"")</f>
        <v>0</v>
      </c>
      <c r="E42" s="54"/>
      <c r="F42" s="61"/>
      <c r="G42" s="61"/>
      <c r="H42" s="61"/>
    </row>
    <row r="43" spans="1:8" ht="15.75" customHeight="1" x14ac:dyDescent="0.2">
      <c r="A43" s="54"/>
      <c r="B43" s="54" cm="1">
        <f t="array" ref="B43">IFERROR(INDEX(B_SHIFT_ESDS,29),"")</f>
        <v>0</v>
      </c>
      <c r="C43" s="54" t="str" cm="1">
        <f t="array" ref="C43">IFERROR(INDEX(D_SHIFT_ESDS,7),"")</f>
        <v>Brenda Basulto</v>
      </c>
      <c r="D43" s="54" cm="1">
        <f t="array" ref="D43">IFERROR(INDEX(E_SHIFT_ESDS,29),"")</f>
        <v>0</v>
      </c>
      <c r="E43" s="54"/>
      <c r="F43" s="64"/>
      <c r="G43" s="61"/>
      <c r="H43" s="61"/>
    </row>
    <row r="44" spans="1:8" ht="15.75" customHeight="1" x14ac:dyDescent="0.2">
      <c r="A44" s="54"/>
      <c r="B44" s="54" cm="1">
        <f t="array" ref="B44">IFERROR(INDEX(B_SHIFT_ESDS,30),"")</f>
        <v>0</v>
      </c>
      <c r="C44" s="54" t="str" cm="1">
        <f t="array" ref="C44">IFERROR(INDEX(D_SHIFT_ESDS,8),"")</f>
        <v>Emily Franco</v>
      </c>
      <c r="D44" s="54" cm="1">
        <f t="array" ref="D44">IFERROR(INDEX(E_SHIFT_ESDS,30),"")</f>
        <v>0</v>
      </c>
      <c r="E44" s="54"/>
      <c r="F44" s="64"/>
      <c r="G44" s="61"/>
      <c r="H44" s="61"/>
    </row>
    <row r="45" spans="1:8" ht="15.75" customHeight="1" x14ac:dyDescent="0.2">
      <c r="A45" s="54"/>
      <c r="B45" s="54" cm="1">
        <f t="array" ref="B45">IFERROR(INDEX(B_SHIFT_ESDS,31),"")</f>
        <v>0</v>
      </c>
      <c r="C45" s="54" t="str" cm="1">
        <f t="array" ref="C45">IFERROR(INDEX(D_SHIFT_ESDS,9),"")</f>
        <v>Ricka  Majors</v>
      </c>
      <c r="D45" s="54" cm="1">
        <f t="array" ref="D45">IFERROR(INDEX(E_SHIFT_ESDS,31),"")</f>
        <v>0</v>
      </c>
      <c r="E45" s="55"/>
    </row>
    <row r="46" spans="1:8" ht="15.75" customHeight="1" x14ac:dyDescent="0.2">
      <c r="A46" s="54" cm="1">
        <f t="array" ref="A46">IFERROR(INDEX(TRAINEES_ESDS,16),"")</f>
        <v>0</v>
      </c>
      <c r="B46" s="54" cm="1">
        <f t="array" ref="B46">IFERROR(INDEX(B_SHIFT_ESDS,32),"")</f>
        <v>0</v>
      </c>
      <c r="C46" s="54" t="str" cm="1">
        <f t="array" ref="C46">IFERROR(INDEX(D_SHIFT_ESDS,10),"")</f>
        <v>Asuzena Aquino</v>
      </c>
      <c r="D46" s="54" cm="1">
        <f t="array" ref="D46">IFERROR(INDEX(E_SHIFT_ESDS,32),"")</f>
        <v>0</v>
      </c>
      <c r="E46" s="55"/>
    </row>
    <row r="47" spans="1:8" ht="15.75" customHeight="1" x14ac:dyDescent="0.2">
      <c r="A47" s="54" cm="1">
        <f t="array" ref="A47">IFERROR(INDEX(TRAINEES_ESDS,17),"")</f>
        <v>0</v>
      </c>
      <c r="B47" s="54" cm="1">
        <f t="array" ref="B47">IFERROR(INDEX(B_SHIFT_ESDS,33),"")</f>
        <v>0</v>
      </c>
      <c r="C47" s="54" t="str" cm="1">
        <f t="array" ref="C47">IFERROR(INDEX(D_SHIFT_ESDS,11),"")</f>
        <v>Jorge Rosales</v>
      </c>
    </row>
    <row r="48" spans="1:8" ht="15.75" customHeight="1" x14ac:dyDescent="0.2">
      <c r="A48" s="54" cm="1">
        <f t="array" ref="A48">IFERROR(INDEX(TRAINEES_ESDS,18),"")</f>
        <v>0</v>
      </c>
      <c r="B48" s="54" cm="1">
        <f t="array" ref="B48">IFERROR(INDEX(B_SHIFT_ESDS,34),"")</f>
        <v>0</v>
      </c>
      <c r="C48" s="54" t="str" cm="1">
        <f t="array" ref="C48">IFERROR(INDEX(D_SHIFT_ESDS,12),"")</f>
        <v>Cierra Chochrek</v>
      </c>
    </row>
    <row r="49" spans="1:3" ht="15.75" customHeight="1" x14ac:dyDescent="0.2">
      <c r="A49" s="54" cm="1">
        <f t="array" ref="A49">IFERROR(INDEX(TRAINEES_ESDS,19),"")</f>
        <v>0</v>
      </c>
      <c r="B49" s="54" cm="1">
        <f t="array" ref="B49">IFERROR(INDEX(B_SHIFT_ESDS,35),"")</f>
        <v>0</v>
      </c>
      <c r="C49" s="54" t="str" cm="1">
        <f t="array" ref="C49">IFERROR(INDEX(D_SHIFT_ESDS,13),"")</f>
        <v>Daniel Gallardo</v>
      </c>
    </row>
    <row r="50" spans="1:3" ht="15.75" customHeight="1" x14ac:dyDescent="0.2">
      <c r="A50" s="54" cm="1">
        <f t="array" ref="A50">IFERROR(INDEX(TRAINEES_ESDS,20),"")</f>
        <v>0</v>
      </c>
      <c r="B50" s="54" cm="1">
        <f t="array" ref="B50">IFERROR(INDEX(B_SHIFT_ESDS,36),"")</f>
        <v>0</v>
      </c>
      <c r="C50" s="54" cm="1">
        <f t="array" ref="C50">IFERROR(INDEX(D_SHIFT_ESDS,14),"")</f>
        <v>0</v>
      </c>
    </row>
    <row r="51" spans="1:3" ht="15.75" customHeight="1" x14ac:dyDescent="0.2">
      <c r="B51" s="54" cm="1">
        <f t="array" ref="B51">IFERROR(INDEX(B_SHIFT_ESDS,37),"")</f>
        <v>0</v>
      </c>
      <c r="C51" s="54" cm="1">
        <f t="array" ref="C51">IFERROR(INDEX(D_SHIFT_ESDS,15),"")</f>
        <v>0</v>
      </c>
    </row>
    <row r="52" spans="1:3" ht="15.75" customHeight="1" x14ac:dyDescent="0.2">
      <c r="B52" s="54" cm="1">
        <f t="array" ref="B52">IFERROR(INDEX(B_SHIFT_ESDS,38),"")</f>
        <v>0</v>
      </c>
      <c r="C52" s="54" cm="1">
        <f t="array" ref="C52">IFERROR(INDEX(D_SHIFT_ESDS,16),"")</f>
        <v>0</v>
      </c>
    </row>
    <row r="53" spans="1:3" ht="15.75" customHeight="1" x14ac:dyDescent="0.2">
      <c r="C53" s="54" cm="1">
        <f t="array" ref="C53">IFERROR(INDEX(D_SHIFT_ESDS,17),"")</f>
        <v>0</v>
      </c>
    </row>
    <row r="54" spans="1:3" ht="15.75" customHeight="1" x14ac:dyDescent="0.2"/>
    <row r="55" spans="1:3" ht="15.75" customHeight="1" x14ac:dyDescent="0.2"/>
    <row r="56" spans="1:3" ht="15.75" customHeight="1" x14ac:dyDescent="0.2"/>
    <row r="57" spans="1:3" ht="15.75" customHeight="1" x14ac:dyDescent="0.2"/>
    <row r="58" spans="1:3" ht="15.75" customHeight="1" x14ac:dyDescent="0.2"/>
    <row r="59" spans="1:3" ht="15.75" customHeight="1" x14ac:dyDescent="0.2"/>
    <row r="60" spans="1:3" ht="15.75" customHeight="1" x14ac:dyDescent="0.2"/>
    <row r="61" spans="1:3" ht="15.75" customHeight="1" x14ac:dyDescent="0.2"/>
    <row r="62" spans="1:3" ht="15.75" customHeight="1" x14ac:dyDescent="0.2"/>
    <row r="63" spans="1:3" ht="15.75" customHeight="1" x14ac:dyDescent="0.2"/>
    <row r="64" spans="1:3" ht="15.75" customHeight="1" x14ac:dyDescent="0.2"/>
    <row r="65" s="57" customFormat="1" ht="15.75" customHeight="1" x14ac:dyDescent="0.2"/>
    <row r="66" s="57" customFormat="1" ht="15.75" customHeight="1" x14ac:dyDescent="0.2"/>
    <row r="67" s="57" customFormat="1" ht="15.75" customHeight="1" x14ac:dyDescent="0.2"/>
    <row r="68" s="57" customFormat="1" ht="15.75" customHeight="1" x14ac:dyDescent="0.2"/>
    <row r="69" s="57" customFormat="1" ht="15.75" customHeight="1" x14ac:dyDescent="0.2"/>
    <row r="70" s="57" customFormat="1" ht="15.75" customHeight="1" x14ac:dyDescent="0.2"/>
    <row r="71" s="57" customFormat="1" ht="15.75" customHeight="1" x14ac:dyDescent="0.2"/>
    <row r="72" s="57" customFormat="1" ht="15.75" customHeight="1" x14ac:dyDescent="0.2"/>
    <row r="73" s="57" customFormat="1" ht="15.75" customHeight="1" x14ac:dyDescent="0.2"/>
    <row r="74" s="57" customFormat="1" ht="15.75" customHeight="1" x14ac:dyDescent="0.2"/>
    <row r="75" s="57" customFormat="1" ht="15.75" customHeight="1" x14ac:dyDescent="0.2"/>
    <row r="76" s="57" customFormat="1" ht="15.75" customHeight="1" x14ac:dyDescent="0.2"/>
    <row r="77" s="57" customFormat="1" ht="15.75" customHeight="1" x14ac:dyDescent="0.2"/>
    <row r="78" s="57" customFormat="1" ht="15.75" customHeight="1" x14ac:dyDescent="0.2"/>
    <row r="79" s="57" customFormat="1" ht="15.75" customHeight="1" x14ac:dyDescent="0.2"/>
    <row r="80" s="57" customFormat="1" ht="15.75" customHeight="1" x14ac:dyDescent="0.2"/>
    <row r="81" s="57" customFormat="1" ht="15.75" customHeight="1" x14ac:dyDescent="0.2"/>
    <row r="82" s="57" customFormat="1" ht="15.75" customHeight="1" x14ac:dyDescent="0.2"/>
    <row r="83" s="57" customFormat="1" ht="15.75" customHeight="1" x14ac:dyDescent="0.2"/>
    <row r="84" s="57" customFormat="1" ht="15.75" customHeight="1" x14ac:dyDescent="0.2"/>
    <row r="85" s="57" customFormat="1" ht="15.75" customHeight="1" x14ac:dyDescent="0.2"/>
    <row r="86" s="57" customFormat="1" ht="15.75" customHeight="1" x14ac:dyDescent="0.2"/>
    <row r="87" s="57" customFormat="1" ht="15.75" customHeight="1" x14ac:dyDescent="0.2"/>
    <row r="88" s="57" customFormat="1" ht="15.75" customHeight="1" x14ac:dyDescent="0.2"/>
    <row r="89" s="57" customFormat="1" ht="15.75" customHeight="1" x14ac:dyDescent="0.2"/>
    <row r="90" s="57" customFormat="1" ht="15.75" customHeight="1" x14ac:dyDescent="0.2"/>
    <row r="91" s="57" customFormat="1" ht="15.75" customHeight="1" x14ac:dyDescent="0.2"/>
    <row r="92" s="57" customFormat="1" ht="15.75" customHeight="1" x14ac:dyDescent="0.2"/>
    <row r="93" s="57" customFormat="1" ht="15.75" customHeight="1" x14ac:dyDescent="0.2"/>
    <row r="94" s="57" customFormat="1" ht="15.75" customHeight="1" x14ac:dyDescent="0.2"/>
    <row r="95" s="57" customFormat="1" ht="15.75" customHeight="1" x14ac:dyDescent="0.2"/>
    <row r="96" s="57" customFormat="1" ht="15.75" customHeight="1" x14ac:dyDescent="0.2"/>
    <row r="97" s="57" customFormat="1" ht="15.75" customHeight="1" x14ac:dyDescent="0.2"/>
    <row r="98" s="57" customFormat="1" ht="15.75" customHeight="1" x14ac:dyDescent="0.2"/>
    <row r="99" s="57" customFormat="1" ht="15.75" customHeight="1" x14ac:dyDescent="0.2"/>
    <row r="100" s="57" customFormat="1" ht="15.75" customHeight="1" x14ac:dyDescent="0.2"/>
    <row r="101" s="57" customFormat="1" ht="15.75" customHeight="1" x14ac:dyDescent="0.2"/>
    <row r="102" s="57" customFormat="1" ht="15.75" customHeight="1" x14ac:dyDescent="0.2"/>
    <row r="103" s="57" customFormat="1" ht="15.75" customHeight="1" x14ac:dyDescent="0.2"/>
    <row r="104" s="57" customFormat="1" ht="15.75" customHeight="1" x14ac:dyDescent="0.2"/>
    <row r="105" s="57" customFormat="1" ht="15.75" customHeight="1" x14ac:dyDescent="0.2"/>
    <row r="106" s="57" customFormat="1" ht="15.75" customHeight="1" x14ac:dyDescent="0.2"/>
    <row r="107" s="57" customFormat="1" ht="15.75" customHeight="1" x14ac:dyDescent="0.2"/>
    <row r="108" s="57" customFormat="1" ht="15.75" customHeight="1" x14ac:dyDescent="0.2"/>
    <row r="109" s="57" customFormat="1" ht="15.75" customHeight="1" x14ac:dyDescent="0.2"/>
    <row r="110" s="57" customFormat="1" ht="15.75" customHeight="1" x14ac:dyDescent="0.2"/>
    <row r="111" s="57" customFormat="1" ht="15.75" customHeight="1" x14ac:dyDescent="0.2"/>
    <row r="112" s="57" customFormat="1" ht="15.75" customHeight="1" x14ac:dyDescent="0.2"/>
    <row r="113" s="57" customFormat="1" ht="15.75" customHeight="1" x14ac:dyDescent="0.2"/>
    <row r="114" s="57" customFormat="1" ht="15.75" customHeight="1" x14ac:dyDescent="0.2"/>
    <row r="115" s="57" customFormat="1" ht="15.75" customHeight="1" x14ac:dyDescent="0.2"/>
    <row r="116" s="57" customFormat="1" ht="15.75" customHeight="1" x14ac:dyDescent="0.2"/>
    <row r="117" s="57" customFormat="1" ht="15.75" customHeight="1" x14ac:dyDescent="0.2"/>
    <row r="118" s="57" customFormat="1" ht="15.75" customHeight="1" x14ac:dyDescent="0.2"/>
    <row r="119" s="57" customFormat="1" ht="15.75" customHeight="1" x14ac:dyDescent="0.2"/>
    <row r="120" s="57" customFormat="1" ht="15.75" customHeight="1" x14ac:dyDescent="0.2"/>
    <row r="121" s="57" customFormat="1" ht="15.75" customHeight="1" x14ac:dyDescent="0.2"/>
    <row r="122" s="57" customFormat="1" ht="15.75" customHeight="1" x14ac:dyDescent="0.2"/>
    <row r="123" s="57" customFormat="1" ht="15.75" customHeight="1" x14ac:dyDescent="0.2"/>
    <row r="124" s="57" customFormat="1" ht="15.75" customHeight="1" x14ac:dyDescent="0.2"/>
    <row r="125" s="57" customFormat="1" ht="15.75" customHeight="1" x14ac:dyDescent="0.2"/>
    <row r="126" s="57" customFormat="1" ht="15.75" customHeight="1" x14ac:dyDescent="0.2"/>
    <row r="127" s="57" customFormat="1" ht="15.75" customHeight="1" x14ac:dyDescent="0.2"/>
    <row r="128" s="57" customFormat="1" ht="15.75" customHeight="1" x14ac:dyDescent="0.2"/>
    <row r="129" s="57" customFormat="1" ht="15.75" customHeight="1" x14ac:dyDescent="0.2"/>
    <row r="130" s="57" customFormat="1" ht="15.75" customHeight="1" x14ac:dyDescent="0.2"/>
    <row r="131" s="57" customFormat="1" ht="15.75" customHeight="1" x14ac:dyDescent="0.2"/>
    <row r="132" s="57" customFormat="1" ht="15.75" customHeight="1" x14ac:dyDescent="0.2"/>
    <row r="133" s="57" customFormat="1" ht="15.75" customHeight="1" x14ac:dyDescent="0.2"/>
    <row r="134" s="57" customFormat="1" ht="15.75" customHeight="1" x14ac:dyDescent="0.2"/>
    <row r="135" s="57" customFormat="1" ht="15.75" customHeight="1" x14ac:dyDescent="0.2"/>
    <row r="136" s="57" customFormat="1" ht="15.75" customHeight="1" x14ac:dyDescent="0.2"/>
    <row r="137" s="57" customFormat="1" ht="15.75" customHeight="1" x14ac:dyDescent="0.2"/>
    <row r="138" s="57" customFormat="1" ht="15.75" customHeight="1" x14ac:dyDescent="0.2"/>
    <row r="139" s="57" customFormat="1" ht="15.75" customHeight="1" x14ac:dyDescent="0.2"/>
    <row r="140" s="57" customFormat="1" ht="15.75" customHeight="1" x14ac:dyDescent="0.2"/>
    <row r="141" s="57" customFormat="1" ht="15.75" customHeight="1" x14ac:dyDescent="0.2"/>
    <row r="142" s="57" customFormat="1" ht="15.75" customHeight="1" x14ac:dyDescent="0.2"/>
    <row r="143" s="57" customFormat="1" ht="15.75" customHeight="1" x14ac:dyDescent="0.2"/>
    <row r="144" s="57" customFormat="1" ht="15.75" customHeight="1" x14ac:dyDescent="0.2"/>
    <row r="145" s="57" customFormat="1" ht="15.75" customHeight="1" x14ac:dyDescent="0.2"/>
    <row r="146" s="57" customFormat="1" ht="15.75" customHeight="1" x14ac:dyDescent="0.2"/>
    <row r="147" s="57" customFormat="1" ht="15.75" customHeight="1" x14ac:dyDescent="0.2"/>
    <row r="148" s="57" customFormat="1" ht="15.75" customHeight="1" x14ac:dyDescent="0.2"/>
    <row r="149" s="57" customFormat="1" ht="15.75" customHeight="1" x14ac:dyDescent="0.2"/>
    <row r="150" s="57" customFormat="1" ht="15.75" customHeight="1" x14ac:dyDescent="0.2"/>
    <row r="151" s="57" customFormat="1" ht="15.75" customHeight="1" x14ac:dyDescent="0.2"/>
    <row r="152" s="57" customFormat="1" ht="15.75" customHeight="1" x14ac:dyDescent="0.2"/>
    <row r="153" s="57" customFormat="1" ht="15.75" customHeight="1" x14ac:dyDescent="0.2"/>
    <row r="154" s="57" customFormat="1" ht="15.75" customHeight="1" x14ac:dyDescent="0.2"/>
    <row r="155" s="57" customFormat="1" ht="15.75" customHeight="1" x14ac:dyDescent="0.2"/>
    <row r="156" s="57" customFormat="1" ht="15.75" customHeight="1" x14ac:dyDescent="0.2"/>
    <row r="157" s="57" customFormat="1" ht="15.75" customHeight="1" x14ac:dyDescent="0.2"/>
    <row r="158" s="57" customFormat="1" ht="15.75" customHeight="1" x14ac:dyDescent="0.2"/>
    <row r="159" s="57" customFormat="1" ht="15.75" customHeight="1" x14ac:dyDescent="0.2"/>
    <row r="160" s="57" customFormat="1" ht="15.75" customHeight="1" x14ac:dyDescent="0.2"/>
    <row r="161" s="57" customFormat="1" ht="15.75" customHeight="1" x14ac:dyDescent="0.2"/>
    <row r="162" s="57" customFormat="1" ht="15.75" customHeight="1" x14ac:dyDescent="0.2"/>
    <row r="163" s="57" customFormat="1" ht="15.75" customHeight="1" x14ac:dyDescent="0.2"/>
    <row r="164" s="57" customFormat="1" ht="15.75" customHeight="1" x14ac:dyDescent="0.2"/>
    <row r="165" s="57" customFormat="1" ht="15.75" customHeight="1" x14ac:dyDescent="0.2"/>
    <row r="166" s="57" customFormat="1" ht="15.75" customHeight="1" x14ac:dyDescent="0.2"/>
    <row r="167" s="57" customFormat="1" ht="15.75" customHeight="1" x14ac:dyDescent="0.2"/>
    <row r="168" s="57" customFormat="1" ht="15.75" customHeight="1" x14ac:dyDescent="0.2"/>
    <row r="169" s="57" customFormat="1" ht="15.75" customHeight="1" x14ac:dyDescent="0.2"/>
    <row r="170" s="57" customFormat="1" ht="15.75" customHeight="1" x14ac:dyDescent="0.2"/>
    <row r="171" s="57" customFormat="1" ht="15.75" customHeight="1" x14ac:dyDescent="0.2"/>
    <row r="172" s="57" customFormat="1" ht="15.75" customHeight="1" x14ac:dyDescent="0.2"/>
    <row r="173" s="57" customFormat="1" ht="15.75" customHeight="1" x14ac:dyDescent="0.2"/>
    <row r="174" s="57" customFormat="1" ht="15.75" customHeight="1" x14ac:dyDescent="0.2"/>
    <row r="175" s="57" customFormat="1" ht="15.75" customHeight="1" x14ac:dyDescent="0.2"/>
    <row r="176" s="57" customFormat="1" ht="15.75" customHeight="1" x14ac:dyDescent="0.2"/>
    <row r="177" s="57" customFormat="1" ht="15.75" customHeight="1" x14ac:dyDescent="0.2"/>
    <row r="178" s="57" customFormat="1" ht="15.75" customHeight="1" x14ac:dyDescent="0.2"/>
    <row r="179" s="57" customFormat="1" ht="15.75" customHeight="1" x14ac:dyDescent="0.2"/>
    <row r="180" s="57" customFormat="1" ht="15.75" customHeight="1" x14ac:dyDescent="0.2"/>
    <row r="181" s="57" customFormat="1" ht="15.75" customHeight="1" x14ac:dyDescent="0.2"/>
    <row r="182" s="57" customFormat="1" ht="15.75" customHeight="1" x14ac:dyDescent="0.2"/>
    <row r="183" s="57" customFormat="1" ht="15.75" customHeight="1" x14ac:dyDescent="0.2"/>
    <row r="184" s="57" customFormat="1" ht="15.75" customHeight="1" x14ac:dyDescent="0.2"/>
    <row r="185" s="57" customFormat="1" ht="15.75" customHeight="1" x14ac:dyDescent="0.2"/>
    <row r="186" s="57" customFormat="1" ht="15.75" customHeight="1" x14ac:dyDescent="0.2"/>
    <row r="187" s="57" customFormat="1" ht="15.75" customHeight="1" x14ac:dyDescent="0.2"/>
    <row r="188" s="57" customFormat="1" ht="15.75" customHeight="1" x14ac:dyDescent="0.2"/>
    <row r="189" s="57" customFormat="1" ht="15.75" customHeight="1" x14ac:dyDescent="0.2"/>
    <row r="190" s="57" customFormat="1" ht="15.75" customHeight="1" x14ac:dyDescent="0.2"/>
    <row r="191" s="57" customFormat="1" ht="15.75" customHeight="1" x14ac:dyDescent="0.2"/>
    <row r="192" s="57" customFormat="1" ht="15.75" customHeight="1" x14ac:dyDescent="0.2"/>
    <row r="193" s="57" customFormat="1" ht="15.75" customHeight="1" x14ac:dyDescent="0.2"/>
    <row r="194" s="57" customFormat="1" ht="15.75" customHeight="1" x14ac:dyDescent="0.2"/>
    <row r="195" s="57" customFormat="1" ht="15.75" customHeight="1" x14ac:dyDescent="0.2"/>
    <row r="196" s="57" customFormat="1" ht="15.75" customHeight="1" x14ac:dyDescent="0.2"/>
    <row r="197" s="57" customFormat="1" ht="15.75" customHeight="1" x14ac:dyDescent="0.2"/>
    <row r="198" s="57" customFormat="1" ht="15.75" customHeight="1" x14ac:dyDescent="0.2"/>
    <row r="199" s="57" customFormat="1" ht="15.75" customHeight="1" x14ac:dyDescent="0.2"/>
    <row r="200" s="57" customFormat="1" ht="15.75" customHeight="1" x14ac:dyDescent="0.2"/>
    <row r="201" s="57" customFormat="1" ht="15.75" customHeight="1" x14ac:dyDescent="0.2"/>
    <row r="202" s="57" customFormat="1" ht="15.75" customHeight="1" x14ac:dyDescent="0.2"/>
    <row r="203" s="57" customFormat="1" ht="15.75" customHeight="1" x14ac:dyDescent="0.2"/>
    <row r="204" s="57" customFormat="1" ht="15.75" customHeight="1" x14ac:dyDescent="0.2"/>
    <row r="205" s="57" customFormat="1" ht="15.75" customHeight="1" x14ac:dyDescent="0.2"/>
    <row r="206" s="57" customFormat="1" ht="15.75" customHeight="1" x14ac:dyDescent="0.2"/>
    <row r="207" s="57" customFormat="1" ht="15.75" customHeight="1" x14ac:dyDescent="0.2"/>
    <row r="208" s="57" customFormat="1" ht="15.75" customHeight="1" x14ac:dyDescent="0.2"/>
    <row r="209" s="57" customFormat="1" ht="15.75" customHeight="1" x14ac:dyDescent="0.2"/>
    <row r="210" s="57" customFormat="1" ht="15.75" customHeight="1" x14ac:dyDescent="0.2"/>
    <row r="211" s="57" customFormat="1" ht="15.75" customHeight="1" x14ac:dyDescent="0.2"/>
    <row r="212" s="57" customFormat="1" ht="15.75" customHeight="1" x14ac:dyDescent="0.2"/>
    <row r="213" s="57" customFormat="1" ht="15.75" customHeight="1" x14ac:dyDescent="0.2"/>
    <row r="214" s="57" customFormat="1" ht="15.75" customHeight="1" x14ac:dyDescent="0.2"/>
    <row r="215" s="57" customFormat="1" ht="15.75" customHeight="1" x14ac:dyDescent="0.2"/>
    <row r="216" s="57" customFormat="1" ht="15.75" customHeight="1" x14ac:dyDescent="0.2"/>
    <row r="217" s="57" customFormat="1" ht="15.75" customHeight="1" x14ac:dyDescent="0.2"/>
    <row r="218" s="57" customFormat="1" ht="15.75" customHeight="1" x14ac:dyDescent="0.2"/>
    <row r="219" s="57" customFormat="1" ht="15.75" customHeight="1" x14ac:dyDescent="0.2"/>
    <row r="220" s="57" customFormat="1" ht="15.75" customHeight="1" x14ac:dyDescent="0.2"/>
    <row r="221" s="57" customFormat="1" ht="15.75" customHeight="1" x14ac:dyDescent="0.2"/>
    <row r="222" s="57" customFormat="1" ht="15.75" customHeight="1" x14ac:dyDescent="0.2"/>
    <row r="223" s="57" customFormat="1" ht="15.75" customHeight="1" x14ac:dyDescent="0.2"/>
    <row r="224" s="57" customFormat="1" ht="15.75" customHeight="1" x14ac:dyDescent="0.2"/>
    <row r="225" s="57" customFormat="1" ht="15.75" customHeight="1" x14ac:dyDescent="0.2"/>
    <row r="226" s="57" customFormat="1" ht="15.75" customHeight="1" x14ac:dyDescent="0.2"/>
    <row r="227" s="57" customFormat="1" ht="15.75" customHeight="1" x14ac:dyDescent="0.2"/>
    <row r="228" s="57" customFormat="1" ht="15.75" customHeight="1" x14ac:dyDescent="0.2"/>
    <row r="229" s="57" customFormat="1" ht="15.75" customHeight="1" x14ac:dyDescent="0.2"/>
    <row r="230" s="57" customFormat="1" ht="15.75" customHeight="1" x14ac:dyDescent="0.2"/>
    <row r="231" s="57" customFormat="1" ht="15.75" customHeight="1" x14ac:dyDescent="0.2"/>
    <row r="232" s="57" customFormat="1" ht="15.75" customHeight="1" x14ac:dyDescent="0.2"/>
    <row r="233" s="57" customFormat="1" ht="15.75" customHeight="1" x14ac:dyDescent="0.2"/>
    <row r="234" s="57" customFormat="1" ht="15.75" customHeight="1" x14ac:dyDescent="0.2"/>
    <row r="235" s="57" customFormat="1" ht="15.75" customHeight="1" x14ac:dyDescent="0.2"/>
    <row r="236" s="57" customFormat="1" ht="15.75" customHeight="1" x14ac:dyDescent="0.2"/>
    <row r="237" s="57" customFormat="1" ht="15.75" customHeight="1" x14ac:dyDescent="0.2"/>
    <row r="238" s="57" customFormat="1" ht="15.75" customHeight="1" x14ac:dyDescent="0.2"/>
    <row r="239" s="57" customFormat="1" ht="15.75" customHeight="1" x14ac:dyDescent="0.2"/>
    <row r="240" s="57" customFormat="1" ht="15.75" customHeight="1" x14ac:dyDescent="0.2"/>
    <row r="241" s="57" customFormat="1" ht="15.75" customHeight="1" x14ac:dyDescent="0.2"/>
    <row r="242" s="57" customFormat="1" ht="15.75" customHeight="1" x14ac:dyDescent="0.2"/>
    <row r="243" s="57" customFormat="1" ht="15.75" customHeight="1" x14ac:dyDescent="0.2"/>
    <row r="244" s="57" customFormat="1" ht="15.75" customHeight="1" x14ac:dyDescent="0.2"/>
    <row r="245" s="57" customFormat="1" ht="15.75" customHeight="1" x14ac:dyDescent="0.2"/>
    <row r="246" s="57" customFormat="1" ht="15.75" customHeight="1" x14ac:dyDescent="0.2"/>
    <row r="247" s="57" customFormat="1" ht="15.75" customHeight="1" x14ac:dyDescent="0.2"/>
    <row r="248" s="57" customFormat="1" ht="15.75" customHeight="1" x14ac:dyDescent="0.2"/>
    <row r="249" s="57" customFormat="1" ht="15.75" customHeight="1" x14ac:dyDescent="0.2"/>
    <row r="250" s="57" customFormat="1" ht="15.75" customHeight="1" x14ac:dyDescent="0.2"/>
    <row r="251" s="57" customFormat="1" ht="15.75" customHeight="1" x14ac:dyDescent="0.2"/>
    <row r="252" s="57" customFormat="1" ht="15.75" customHeight="1" x14ac:dyDescent="0.2"/>
    <row r="253" s="57" customFormat="1" ht="15.75" customHeight="1" x14ac:dyDescent="0.2"/>
    <row r="254" s="57" customFormat="1" ht="15.75" customHeight="1" x14ac:dyDescent="0.2"/>
    <row r="255" s="57" customFormat="1" ht="15.75" customHeight="1" x14ac:dyDescent="0.2"/>
    <row r="256" s="57" customFormat="1" ht="15.75" customHeight="1" x14ac:dyDescent="0.2"/>
    <row r="257" s="57" customFormat="1" ht="15.75" customHeight="1" x14ac:dyDescent="0.2"/>
    <row r="258" s="57" customFormat="1" ht="15.75" customHeight="1" x14ac:dyDescent="0.2"/>
    <row r="259" s="57" customFormat="1" ht="15.75" customHeight="1" x14ac:dyDescent="0.2"/>
    <row r="260" s="57" customFormat="1" ht="15.75" customHeight="1" x14ac:dyDescent="0.2"/>
    <row r="261" s="57" customFormat="1" ht="15.75" customHeight="1" x14ac:dyDescent="0.2"/>
    <row r="262" s="57" customFormat="1" ht="15.75" customHeight="1" x14ac:dyDescent="0.2"/>
    <row r="263" s="57" customFormat="1" ht="15.75" customHeight="1" x14ac:dyDescent="0.2"/>
    <row r="264" s="57" customFormat="1" ht="15.75" customHeight="1" x14ac:dyDescent="0.2"/>
    <row r="265" s="57" customFormat="1" ht="15.75" customHeight="1" x14ac:dyDescent="0.2"/>
    <row r="266" s="57" customFormat="1" ht="15.75" customHeight="1" x14ac:dyDescent="0.2"/>
    <row r="267" s="57" customFormat="1" ht="15.75" customHeight="1" x14ac:dyDescent="0.2"/>
    <row r="268" s="57" customFormat="1" ht="15.75" customHeight="1" x14ac:dyDescent="0.2"/>
    <row r="269" s="57" customFormat="1" ht="15.75" customHeight="1" x14ac:dyDescent="0.2"/>
    <row r="270" s="57" customFormat="1" ht="15.75" customHeight="1" x14ac:dyDescent="0.2"/>
    <row r="271" s="57" customFormat="1" ht="15.75" customHeight="1" x14ac:dyDescent="0.2"/>
    <row r="272" s="57" customFormat="1" ht="15.75" customHeight="1" x14ac:dyDescent="0.2"/>
    <row r="273" s="57" customFormat="1" ht="15.75" customHeight="1" x14ac:dyDescent="0.2"/>
    <row r="274" s="57" customFormat="1" ht="15.75" customHeight="1" x14ac:dyDescent="0.2"/>
    <row r="275" s="57" customFormat="1" ht="15.75" customHeight="1" x14ac:dyDescent="0.2"/>
    <row r="276" s="57" customFormat="1" ht="15.75" customHeight="1" x14ac:dyDescent="0.2"/>
    <row r="277" s="57" customFormat="1" ht="15.75" customHeight="1" x14ac:dyDescent="0.2"/>
    <row r="278" s="57" customFormat="1" ht="15.75" customHeight="1" x14ac:dyDescent="0.2"/>
    <row r="279" s="57" customFormat="1" ht="15.75" customHeight="1" x14ac:dyDescent="0.2"/>
    <row r="280" s="57" customFormat="1" ht="15.75" customHeight="1" x14ac:dyDescent="0.2"/>
    <row r="281" s="57" customFormat="1" ht="15.75" customHeight="1" x14ac:dyDescent="0.2"/>
    <row r="282" s="57" customFormat="1" ht="15.75" customHeight="1" x14ac:dyDescent="0.2"/>
    <row r="283" s="57" customFormat="1" ht="15.75" customHeight="1" x14ac:dyDescent="0.2"/>
    <row r="284" s="57" customFormat="1" ht="15.75" customHeight="1" x14ac:dyDescent="0.2"/>
    <row r="285" s="57" customFormat="1" ht="15.75" customHeight="1" x14ac:dyDescent="0.2"/>
    <row r="286" s="57" customFormat="1" ht="15.75" customHeight="1" x14ac:dyDescent="0.2"/>
    <row r="287" s="57" customFormat="1" ht="15.75" customHeight="1" x14ac:dyDescent="0.2"/>
    <row r="288" s="57" customFormat="1" ht="15.75" customHeight="1" x14ac:dyDescent="0.2"/>
    <row r="289" s="57" customFormat="1" ht="15.75" customHeight="1" x14ac:dyDescent="0.2"/>
    <row r="290" s="57" customFormat="1" ht="15.75" customHeight="1" x14ac:dyDescent="0.2"/>
    <row r="291" s="57" customFormat="1" ht="15.75" customHeight="1" x14ac:dyDescent="0.2"/>
    <row r="292" s="57" customFormat="1" ht="15.75" customHeight="1" x14ac:dyDescent="0.2"/>
    <row r="293" s="57" customFormat="1" ht="15.75" customHeight="1" x14ac:dyDescent="0.2"/>
    <row r="294" s="57" customFormat="1" ht="15.75" customHeight="1" x14ac:dyDescent="0.2"/>
    <row r="295" s="57" customFormat="1" ht="15.75" customHeight="1" x14ac:dyDescent="0.2"/>
    <row r="296" s="57" customFormat="1" ht="15.75" customHeight="1" x14ac:dyDescent="0.2"/>
    <row r="297" s="57" customFormat="1" ht="15.75" customHeight="1" x14ac:dyDescent="0.2"/>
    <row r="298" s="57" customFormat="1" ht="15.75" customHeight="1" x14ac:dyDescent="0.2"/>
    <row r="299" s="57" customFormat="1" ht="15.75" customHeight="1" x14ac:dyDescent="0.2"/>
    <row r="300" s="57" customFormat="1" ht="15.75" customHeight="1" x14ac:dyDescent="0.2"/>
    <row r="301" s="57" customFormat="1" ht="15.75" customHeight="1" x14ac:dyDescent="0.2"/>
    <row r="302" s="57" customFormat="1" ht="15.75" customHeight="1" x14ac:dyDescent="0.2"/>
    <row r="303" s="57" customFormat="1" ht="15.75" customHeight="1" x14ac:dyDescent="0.2"/>
    <row r="304" s="57" customFormat="1" ht="15.75" customHeight="1" x14ac:dyDescent="0.2"/>
    <row r="305" s="57" customFormat="1" ht="15.75" customHeight="1" x14ac:dyDescent="0.2"/>
    <row r="306" s="57" customFormat="1" ht="15.75" customHeight="1" x14ac:dyDescent="0.2"/>
    <row r="307" s="57" customFormat="1" ht="15.75" customHeight="1" x14ac:dyDescent="0.2"/>
    <row r="308" s="57" customFormat="1" ht="15.75" customHeight="1" x14ac:dyDescent="0.2"/>
    <row r="309" s="57" customFormat="1" ht="15.75" customHeight="1" x14ac:dyDescent="0.2"/>
    <row r="310" s="57" customFormat="1" ht="15.75" customHeight="1" x14ac:dyDescent="0.2"/>
    <row r="311" s="57" customFormat="1" ht="15.75" customHeight="1" x14ac:dyDescent="0.2"/>
    <row r="312" s="57" customFormat="1" ht="15.75" customHeight="1" x14ac:dyDescent="0.2"/>
    <row r="313" s="57" customFormat="1" ht="15.75" customHeight="1" x14ac:dyDescent="0.2"/>
    <row r="314" s="57" customFormat="1" ht="15.75" customHeight="1" x14ac:dyDescent="0.2"/>
    <row r="315" s="57" customFormat="1" ht="15.75" customHeight="1" x14ac:dyDescent="0.2"/>
    <row r="316" s="57" customFormat="1" ht="15.75" customHeight="1" x14ac:dyDescent="0.2"/>
    <row r="317" s="57" customFormat="1" ht="15.75" customHeight="1" x14ac:dyDescent="0.2"/>
    <row r="318" s="57" customFormat="1" ht="15.75" customHeight="1" x14ac:dyDescent="0.2"/>
    <row r="319" s="57" customFormat="1" ht="15.75" customHeight="1" x14ac:dyDescent="0.2"/>
    <row r="320" s="57" customFormat="1" ht="15.75" customHeight="1" x14ac:dyDescent="0.2"/>
    <row r="321" s="57" customFormat="1" ht="15.75" customHeight="1" x14ac:dyDescent="0.2"/>
    <row r="322" s="57" customFormat="1" ht="15.75" customHeight="1" x14ac:dyDescent="0.2"/>
    <row r="323" s="57" customFormat="1" ht="15.75" customHeight="1" x14ac:dyDescent="0.2"/>
    <row r="324" s="57" customFormat="1" ht="15.75" customHeight="1" x14ac:dyDescent="0.2"/>
    <row r="325" s="57" customFormat="1" ht="15.75" customHeight="1" x14ac:dyDescent="0.2"/>
    <row r="326" s="57" customFormat="1" ht="15.75" customHeight="1" x14ac:dyDescent="0.2"/>
    <row r="327" s="57" customFormat="1" ht="15.75" customHeight="1" x14ac:dyDescent="0.2"/>
    <row r="328" s="57" customFormat="1" ht="15.75" customHeight="1" x14ac:dyDescent="0.2"/>
    <row r="329" s="57" customFormat="1" ht="15.75" customHeight="1" x14ac:dyDescent="0.2"/>
    <row r="330" s="57" customFormat="1" ht="15.75" customHeight="1" x14ac:dyDescent="0.2"/>
    <row r="331" s="57" customFormat="1" ht="15.75" customHeight="1" x14ac:dyDescent="0.2"/>
    <row r="332" s="57" customFormat="1" ht="15.75" customHeight="1" x14ac:dyDescent="0.2"/>
    <row r="333" s="57" customFormat="1" ht="15.75" customHeight="1" x14ac:dyDescent="0.2"/>
    <row r="334" s="57" customFormat="1" ht="15.75" customHeight="1" x14ac:dyDescent="0.2"/>
    <row r="335" s="57" customFormat="1" ht="15.75" customHeight="1" x14ac:dyDescent="0.2"/>
    <row r="336" s="57" customFormat="1" ht="15.75" customHeight="1" x14ac:dyDescent="0.2"/>
    <row r="337" s="57" customFormat="1" ht="15.75" customHeight="1" x14ac:dyDescent="0.2"/>
    <row r="338" s="57" customFormat="1" ht="15.75" customHeight="1" x14ac:dyDescent="0.2"/>
    <row r="339" s="57" customFormat="1" ht="15.75" customHeight="1" x14ac:dyDescent="0.2"/>
    <row r="340" s="57" customFormat="1" ht="15.75" customHeight="1" x14ac:dyDescent="0.2"/>
    <row r="341" s="57" customFormat="1" ht="15.75" customHeight="1" x14ac:dyDescent="0.2"/>
    <row r="342" s="57" customFormat="1" ht="15.75" customHeight="1" x14ac:dyDescent="0.2"/>
    <row r="343" s="57" customFormat="1" ht="15.75" customHeight="1" x14ac:dyDescent="0.2"/>
    <row r="344" s="57" customFormat="1" ht="15.75" customHeight="1" x14ac:dyDescent="0.2"/>
    <row r="345" s="57" customFormat="1" ht="15.75" customHeight="1" x14ac:dyDescent="0.2"/>
    <row r="346" s="57" customFormat="1" ht="15.75" customHeight="1" x14ac:dyDescent="0.2"/>
    <row r="347" s="57" customFormat="1" ht="15.75" customHeight="1" x14ac:dyDescent="0.2"/>
    <row r="348" s="57" customFormat="1" ht="15.75" customHeight="1" x14ac:dyDescent="0.2"/>
    <row r="349" s="57" customFormat="1" ht="15.75" customHeight="1" x14ac:dyDescent="0.2"/>
    <row r="350" s="57" customFormat="1" ht="15.75" customHeight="1" x14ac:dyDescent="0.2"/>
    <row r="351" s="57" customFormat="1" ht="15.75" customHeight="1" x14ac:dyDescent="0.2"/>
    <row r="352" s="57" customFormat="1" ht="15.75" customHeight="1" x14ac:dyDescent="0.2"/>
    <row r="353" s="57" customFormat="1" ht="15.75" customHeight="1" x14ac:dyDescent="0.2"/>
    <row r="354" s="57" customFormat="1" ht="15.75" customHeight="1" x14ac:dyDescent="0.2"/>
    <row r="355" s="57" customFormat="1" ht="15.75" customHeight="1" x14ac:dyDescent="0.2"/>
    <row r="356" s="57" customFormat="1" ht="15.75" customHeight="1" x14ac:dyDescent="0.2"/>
    <row r="357" s="57" customFormat="1" ht="15.75" customHeight="1" x14ac:dyDescent="0.2"/>
    <row r="358" s="57" customFormat="1" ht="15.75" customHeight="1" x14ac:dyDescent="0.2"/>
    <row r="359" s="57" customFormat="1" ht="15.75" customHeight="1" x14ac:dyDescent="0.2"/>
    <row r="360" s="57" customFormat="1" ht="15.75" customHeight="1" x14ac:dyDescent="0.2"/>
    <row r="361" s="57" customFormat="1" ht="15.75" customHeight="1" x14ac:dyDescent="0.2"/>
    <row r="362" s="57" customFormat="1" ht="15.75" customHeight="1" x14ac:dyDescent="0.2"/>
    <row r="363" s="57" customFormat="1" ht="15.75" customHeight="1" x14ac:dyDescent="0.2"/>
    <row r="364" s="57" customFormat="1" ht="15.75" customHeight="1" x14ac:dyDescent="0.2"/>
    <row r="365" s="57" customFormat="1" ht="15.75" customHeight="1" x14ac:dyDescent="0.2"/>
    <row r="366" s="57" customFormat="1" ht="15.75" customHeight="1" x14ac:dyDescent="0.2"/>
    <row r="367" s="57" customFormat="1" ht="15.75" customHeight="1" x14ac:dyDescent="0.2"/>
    <row r="368" s="57" customFormat="1" ht="15.75" customHeight="1" x14ac:dyDescent="0.2"/>
    <row r="369" s="57" customFormat="1" ht="15.75" customHeight="1" x14ac:dyDescent="0.2"/>
    <row r="370" s="57" customFormat="1" ht="15.75" customHeight="1" x14ac:dyDescent="0.2"/>
    <row r="371" s="57" customFormat="1" ht="15.75" customHeight="1" x14ac:dyDescent="0.2"/>
    <row r="372" s="57" customFormat="1" ht="15.75" customHeight="1" x14ac:dyDescent="0.2"/>
    <row r="373" s="57" customFormat="1" ht="15.75" customHeight="1" x14ac:dyDescent="0.2"/>
    <row r="374" s="57" customFormat="1" ht="15.75" customHeight="1" x14ac:dyDescent="0.2"/>
    <row r="375" s="57" customFormat="1" ht="15.75" customHeight="1" x14ac:dyDescent="0.2"/>
    <row r="376" s="57" customFormat="1" ht="15.75" customHeight="1" x14ac:dyDescent="0.2"/>
    <row r="377" s="57" customFormat="1" ht="15.75" customHeight="1" x14ac:dyDescent="0.2"/>
    <row r="378" s="57" customFormat="1" ht="15.75" customHeight="1" x14ac:dyDescent="0.2"/>
    <row r="379" s="57" customFormat="1" ht="15.75" customHeight="1" x14ac:dyDescent="0.2"/>
    <row r="380" s="57" customFormat="1" ht="15.75" customHeight="1" x14ac:dyDescent="0.2"/>
    <row r="381" s="57" customFormat="1" ht="15.75" customHeight="1" x14ac:dyDescent="0.2"/>
    <row r="382" s="57" customFormat="1" ht="15.75" customHeight="1" x14ac:dyDescent="0.2"/>
    <row r="383" s="57" customFormat="1" ht="15.75" customHeight="1" x14ac:dyDescent="0.2"/>
    <row r="384" s="57" customFormat="1" ht="15.75" customHeight="1" x14ac:dyDescent="0.2"/>
    <row r="385" s="57" customFormat="1" ht="15.75" customHeight="1" x14ac:dyDescent="0.2"/>
    <row r="386" s="57" customFormat="1" ht="15.75" customHeight="1" x14ac:dyDescent="0.2"/>
    <row r="387" s="57" customFormat="1" ht="15.75" customHeight="1" x14ac:dyDescent="0.2"/>
    <row r="388" s="57" customFormat="1" ht="15.75" customHeight="1" x14ac:dyDescent="0.2"/>
    <row r="389" s="57" customFormat="1" ht="15.75" customHeight="1" x14ac:dyDescent="0.2"/>
    <row r="390" s="57" customFormat="1" ht="15.75" customHeight="1" x14ac:dyDescent="0.2"/>
    <row r="391" s="57" customFormat="1" ht="15.75" customHeight="1" x14ac:dyDescent="0.2"/>
    <row r="392" s="57" customFormat="1" ht="15.75" customHeight="1" x14ac:dyDescent="0.2"/>
    <row r="393" s="57" customFormat="1" ht="15.75" customHeight="1" x14ac:dyDescent="0.2"/>
    <row r="394" s="57" customFormat="1" ht="15.75" customHeight="1" x14ac:dyDescent="0.2"/>
    <row r="395" s="57" customFormat="1" ht="15.75" customHeight="1" x14ac:dyDescent="0.2"/>
    <row r="396" s="57" customFormat="1" ht="15.75" customHeight="1" x14ac:dyDescent="0.2"/>
    <row r="397" s="57" customFormat="1" ht="15.75" customHeight="1" x14ac:dyDescent="0.2"/>
    <row r="398" s="57" customFormat="1" ht="15.75" customHeight="1" x14ac:dyDescent="0.2"/>
    <row r="399" s="57" customFormat="1" ht="15.75" customHeight="1" x14ac:dyDescent="0.2"/>
    <row r="400" s="57" customFormat="1" ht="15.75" customHeight="1" x14ac:dyDescent="0.2"/>
    <row r="401" s="57" customFormat="1" ht="15.75" customHeight="1" x14ac:dyDescent="0.2"/>
    <row r="402" s="57" customFormat="1" ht="15.75" customHeight="1" x14ac:dyDescent="0.2"/>
    <row r="403" s="57" customFormat="1" ht="15.75" customHeight="1" x14ac:dyDescent="0.2"/>
    <row r="404" s="57" customFormat="1" ht="15.75" customHeight="1" x14ac:dyDescent="0.2"/>
    <row r="405" s="57" customFormat="1" ht="15.75" customHeight="1" x14ac:dyDescent="0.2"/>
    <row r="406" s="57" customFormat="1" ht="15.75" customHeight="1" x14ac:dyDescent="0.2"/>
    <row r="407" s="57" customFormat="1" ht="15.75" customHeight="1" x14ac:dyDescent="0.2"/>
    <row r="408" s="57" customFormat="1" ht="15.75" customHeight="1" x14ac:dyDescent="0.2"/>
    <row r="409" s="57" customFormat="1" ht="15.75" customHeight="1" x14ac:dyDescent="0.2"/>
    <row r="410" s="57" customFormat="1" ht="15.75" customHeight="1" x14ac:dyDescent="0.2"/>
    <row r="411" s="57" customFormat="1" ht="15.75" customHeight="1" x14ac:dyDescent="0.2"/>
    <row r="412" s="57" customFormat="1" ht="15.75" customHeight="1" x14ac:dyDescent="0.2"/>
    <row r="413" s="57" customFormat="1" ht="15.75" customHeight="1" x14ac:dyDescent="0.2"/>
    <row r="414" s="57" customFormat="1" ht="15.75" customHeight="1" x14ac:dyDescent="0.2"/>
    <row r="415" s="57" customFormat="1" ht="15.75" customHeight="1" x14ac:dyDescent="0.2"/>
    <row r="416" s="57" customFormat="1" ht="15.75" customHeight="1" x14ac:dyDescent="0.2"/>
    <row r="417" s="57" customFormat="1" ht="15.75" customHeight="1" x14ac:dyDescent="0.2"/>
    <row r="418" s="57" customFormat="1" ht="15.75" customHeight="1" x14ac:dyDescent="0.2"/>
    <row r="419" s="57" customFormat="1" ht="15.75" customHeight="1" x14ac:dyDescent="0.2"/>
    <row r="420" s="57" customFormat="1" ht="15.75" customHeight="1" x14ac:dyDescent="0.2"/>
    <row r="421" s="57" customFormat="1" ht="15.75" customHeight="1" x14ac:dyDescent="0.2"/>
    <row r="422" s="57" customFormat="1" ht="15.75" customHeight="1" x14ac:dyDescent="0.2"/>
    <row r="423" s="57" customFormat="1" ht="15.75" customHeight="1" x14ac:dyDescent="0.2"/>
    <row r="424" s="57" customFormat="1" ht="15.75" customHeight="1" x14ac:dyDescent="0.2"/>
    <row r="425" s="57" customFormat="1" ht="15.75" customHeight="1" x14ac:dyDescent="0.2"/>
    <row r="426" s="57" customFormat="1" ht="15.75" customHeight="1" x14ac:dyDescent="0.2"/>
    <row r="427" s="57" customFormat="1" ht="15.75" customHeight="1" x14ac:dyDescent="0.2"/>
    <row r="428" s="57" customFormat="1" ht="15.75" customHeight="1" x14ac:dyDescent="0.2"/>
    <row r="429" s="57" customFormat="1" ht="15.75" customHeight="1" x14ac:dyDescent="0.2"/>
    <row r="430" s="57" customFormat="1" ht="15.75" customHeight="1" x14ac:dyDescent="0.2"/>
    <row r="431" s="57" customFormat="1" ht="15.75" customHeight="1" x14ac:dyDescent="0.2"/>
    <row r="432" s="57" customFormat="1" ht="15.75" customHeight="1" x14ac:dyDescent="0.2"/>
    <row r="433" s="57" customFormat="1" ht="15.75" customHeight="1" x14ac:dyDescent="0.2"/>
    <row r="434" s="57" customFormat="1" ht="15.75" customHeight="1" x14ac:dyDescent="0.2"/>
    <row r="435" s="57" customFormat="1" ht="15.75" customHeight="1" x14ac:dyDescent="0.2"/>
    <row r="436" s="57" customFormat="1" ht="15.75" customHeight="1" x14ac:dyDescent="0.2"/>
    <row r="437" s="57" customFormat="1" ht="15.75" customHeight="1" x14ac:dyDescent="0.2"/>
    <row r="438" s="57" customFormat="1" ht="15.75" customHeight="1" x14ac:dyDescent="0.2"/>
    <row r="439" s="57" customFormat="1" ht="15.75" customHeight="1" x14ac:dyDescent="0.2"/>
    <row r="440" s="57" customFormat="1" ht="15.75" customHeight="1" x14ac:dyDescent="0.2"/>
    <row r="441" s="57" customFormat="1" ht="15.75" customHeight="1" x14ac:dyDescent="0.2"/>
    <row r="442" s="57" customFormat="1" ht="15.75" customHeight="1" x14ac:dyDescent="0.2"/>
    <row r="443" s="57" customFormat="1" ht="15.75" customHeight="1" x14ac:dyDescent="0.2"/>
    <row r="444" s="57" customFormat="1" ht="15.75" customHeight="1" x14ac:dyDescent="0.2"/>
    <row r="445" s="57" customFormat="1" ht="15.75" customHeight="1" x14ac:dyDescent="0.2"/>
    <row r="446" s="57" customFormat="1" ht="15.75" customHeight="1" x14ac:dyDescent="0.2"/>
    <row r="447" s="57" customFormat="1" ht="15.75" customHeight="1" x14ac:dyDescent="0.2"/>
    <row r="448" s="57" customFormat="1" ht="15.75" customHeight="1" x14ac:dyDescent="0.2"/>
    <row r="449" s="57" customFormat="1" ht="15.75" customHeight="1" x14ac:dyDescent="0.2"/>
    <row r="450" s="57" customFormat="1" ht="15.75" customHeight="1" x14ac:dyDescent="0.2"/>
    <row r="451" s="57" customFormat="1" ht="15.75" customHeight="1" x14ac:dyDescent="0.2"/>
    <row r="452" s="57" customFormat="1" ht="15.75" customHeight="1" x14ac:dyDescent="0.2"/>
    <row r="453" s="57" customFormat="1" ht="15.75" customHeight="1" x14ac:dyDescent="0.2"/>
    <row r="454" s="57" customFormat="1" ht="15.75" customHeight="1" x14ac:dyDescent="0.2"/>
    <row r="455" s="57" customFormat="1" ht="15.75" customHeight="1" x14ac:dyDescent="0.2"/>
    <row r="456" s="57" customFormat="1" ht="15.75" customHeight="1" x14ac:dyDescent="0.2"/>
    <row r="457" s="57" customFormat="1" ht="15.75" customHeight="1" x14ac:dyDescent="0.2"/>
    <row r="458" s="57" customFormat="1" ht="15.75" customHeight="1" x14ac:dyDescent="0.2"/>
    <row r="459" s="57" customFormat="1" ht="15.75" customHeight="1" x14ac:dyDescent="0.2"/>
    <row r="460" s="57" customFormat="1" ht="15.75" customHeight="1" x14ac:dyDescent="0.2"/>
    <row r="461" s="57" customFormat="1" ht="15.75" customHeight="1" x14ac:dyDescent="0.2"/>
    <row r="462" s="57" customFormat="1" ht="15.75" customHeight="1" x14ac:dyDescent="0.2"/>
    <row r="463" s="57" customFormat="1" ht="15.75" customHeight="1" x14ac:dyDescent="0.2"/>
    <row r="464" s="57" customFormat="1" ht="15.75" customHeight="1" x14ac:dyDescent="0.2"/>
    <row r="465" s="57" customFormat="1" ht="15.75" customHeight="1" x14ac:dyDescent="0.2"/>
    <row r="466" s="57" customFormat="1" ht="15.75" customHeight="1" x14ac:dyDescent="0.2"/>
    <row r="467" s="57" customFormat="1" ht="15.75" customHeight="1" x14ac:dyDescent="0.2"/>
    <row r="468" s="57" customFormat="1" ht="15.75" customHeight="1" x14ac:dyDescent="0.2"/>
    <row r="469" s="57" customFormat="1" ht="15.75" customHeight="1" x14ac:dyDescent="0.2"/>
    <row r="470" s="57" customFormat="1" ht="15.75" customHeight="1" x14ac:dyDescent="0.2"/>
    <row r="471" s="57" customFormat="1" ht="15.75" customHeight="1" x14ac:dyDescent="0.2"/>
    <row r="472" s="57" customFormat="1" ht="15.75" customHeight="1" x14ac:dyDescent="0.2"/>
    <row r="473" s="57" customFormat="1" ht="15.75" customHeight="1" x14ac:dyDescent="0.2"/>
    <row r="474" s="57" customFormat="1" ht="15.75" customHeight="1" x14ac:dyDescent="0.2"/>
    <row r="475" s="57" customFormat="1" ht="15.75" customHeight="1" x14ac:dyDescent="0.2"/>
    <row r="476" s="57" customFormat="1" ht="15.75" customHeight="1" x14ac:dyDescent="0.2"/>
    <row r="477" s="57" customFormat="1" ht="15.75" customHeight="1" x14ac:dyDescent="0.2"/>
    <row r="478" s="57" customFormat="1" ht="15.75" customHeight="1" x14ac:dyDescent="0.2"/>
    <row r="479" s="57" customFormat="1" ht="15.75" customHeight="1" x14ac:dyDescent="0.2"/>
    <row r="480" s="57" customFormat="1" ht="15.75" customHeight="1" x14ac:dyDescent="0.2"/>
    <row r="481" s="57" customFormat="1" ht="15.75" customHeight="1" x14ac:dyDescent="0.2"/>
    <row r="482" s="57" customFormat="1" ht="15.75" customHeight="1" x14ac:dyDescent="0.2"/>
    <row r="483" s="57" customFormat="1" ht="15.75" customHeight="1" x14ac:dyDescent="0.2"/>
    <row r="484" s="57" customFormat="1" ht="15.75" customHeight="1" x14ac:dyDescent="0.2"/>
    <row r="485" s="57" customFormat="1" ht="15.75" customHeight="1" x14ac:dyDescent="0.2"/>
    <row r="486" s="57" customFormat="1" ht="15.75" customHeight="1" x14ac:dyDescent="0.2"/>
    <row r="487" s="57" customFormat="1" ht="15.75" customHeight="1" x14ac:dyDescent="0.2"/>
    <row r="488" s="57" customFormat="1" ht="15.75" customHeight="1" x14ac:dyDescent="0.2"/>
    <row r="489" s="57" customFormat="1" ht="15.75" customHeight="1" x14ac:dyDescent="0.2"/>
    <row r="490" s="57" customFormat="1" ht="15.75" customHeight="1" x14ac:dyDescent="0.2"/>
    <row r="491" s="57" customFormat="1" ht="15.75" customHeight="1" x14ac:dyDescent="0.2"/>
    <row r="492" s="57" customFormat="1" ht="15.75" customHeight="1" x14ac:dyDescent="0.2"/>
    <row r="493" s="57" customFormat="1" ht="15.75" customHeight="1" x14ac:dyDescent="0.2"/>
    <row r="494" s="57" customFormat="1" ht="15.75" customHeight="1" x14ac:dyDescent="0.2"/>
    <row r="495" s="57" customFormat="1" ht="15.75" customHeight="1" x14ac:dyDescent="0.2"/>
    <row r="496" s="57" customFormat="1" ht="15.75" customHeight="1" x14ac:dyDescent="0.2"/>
    <row r="497" s="57" customFormat="1" ht="15.75" customHeight="1" x14ac:dyDescent="0.2"/>
    <row r="498" s="57" customFormat="1" ht="15.75" customHeight="1" x14ac:dyDescent="0.2"/>
    <row r="499" s="57" customFormat="1" ht="15.75" customHeight="1" x14ac:dyDescent="0.2"/>
    <row r="500" s="57" customFormat="1" ht="15.75" customHeight="1" x14ac:dyDescent="0.2"/>
    <row r="501" s="57" customFormat="1" ht="15.75" customHeight="1" x14ac:dyDescent="0.2"/>
    <row r="502" s="57" customFormat="1" ht="15.75" customHeight="1" x14ac:dyDescent="0.2"/>
    <row r="503" s="57" customFormat="1" ht="15.75" customHeight="1" x14ac:dyDescent="0.2"/>
    <row r="504" s="57" customFormat="1" ht="15.75" customHeight="1" x14ac:dyDescent="0.2"/>
    <row r="505" s="57" customFormat="1" ht="15.75" customHeight="1" x14ac:dyDescent="0.2"/>
    <row r="506" s="57" customFormat="1" ht="15.75" customHeight="1" x14ac:dyDescent="0.2"/>
    <row r="507" s="57" customFormat="1" ht="15.75" customHeight="1" x14ac:dyDescent="0.2"/>
    <row r="508" s="57" customFormat="1" ht="15.75" customHeight="1" x14ac:dyDescent="0.2"/>
    <row r="509" s="57" customFormat="1" ht="15.75" customHeight="1" x14ac:dyDescent="0.2"/>
    <row r="510" s="57" customFormat="1" ht="15.75" customHeight="1" x14ac:dyDescent="0.2"/>
    <row r="511" s="57" customFormat="1" ht="15.75" customHeight="1" x14ac:dyDescent="0.2"/>
    <row r="512" s="57" customFormat="1" ht="15.75" customHeight="1" x14ac:dyDescent="0.2"/>
    <row r="513" s="57" customFormat="1" ht="15.75" customHeight="1" x14ac:dyDescent="0.2"/>
    <row r="514" s="57" customFormat="1" ht="15.75" customHeight="1" x14ac:dyDescent="0.2"/>
    <row r="515" s="57" customFormat="1" ht="15.75" customHeight="1" x14ac:dyDescent="0.2"/>
    <row r="516" s="57" customFormat="1" ht="15.75" customHeight="1" x14ac:dyDescent="0.2"/>
    <row r="517" s="57" customFormat="1" ht="15.75" customHeight="1" x14ac:dyDescent="0.2"/>
    <row r="518" s="57" customFormat="1" ht="15.75" customHeight="1" x14ac:dyDescent="0.2"/>
    <row r="519" s="57" customFormat="1" ht="15.75" customHeight="1" x14ac:dyDescent="0.2"/>
    <row r="520" s="57" customFormat="1" ht="15.75" customHeight="1" x14ac:dyDescent="0.2"/>
    <row r="521" s="57" customFormat="1" ht="15.75" customHeight="1" x14ac:dyDescent="0.2"/>
    <row r="522" s="57" customFormat="1" ht="15.75" customHeight="1" x14ac:dyDescent="0.2"/>
    <row r="523" s="57" customFormat="1" ht="15.75" customHeight="1" x14ac:dyDescent="0.2"/>
    <row r="524" s="57" customFormat="1" ht="15.75" customHeight="1" x14ac:dyDescent="0.2"/>
    <row r="525" s="57" customFormat="1" ht="15.75" customHeight="1" x14ac:dyDescent="0.2"/>
    <row r="526" s="57" customFormat="1" ht="15.75" customHeight="1" x14ac:dyDescent="0.2"/>
    <row r="527" s="57" customFormat="1" ht="15.75" customHeight="1" x14ac:dyDescent="0.2"/>
    <row r="528" s="57" customFormat="1" ht="15.75" customHeight="1" x14ac:dyDescent="0.2"/>
    <row r="529" s="57" customFormat="1" ht="15.75" customHeight="1" x14ac:dyDescent="0.2"/>
    <row r="530" s="57" customFormat="1" ht="15.75" customHeight="1" x14ac:dyDescent="0.2"/>
    <row r="531" s="57" customFormat="1" ht="15.75" customHeight="1" x14ac:dyDescent="0.2"/>
    <row r="532" s="57" customFormat="1" ht="15.75" customHeight="1" x14ac:dyDescent="0.2"/>
    <row r="533" s="57" customFormat="1" ht="15.75" customHeight="1" x14ac:dyDescent="0.2"/>
    <row r="534" s="57" customFormat="1" ht="15.75" customHeight="1" x14ac:dyDescent="0.2"/>
    <row r="535" s="57" customFormat="1" ht="15.75" customHeight="1" x14ac:dyDescent="0.2"/>
    <row r="536" s="57" customFormat="1" ht="15.75" customHeight="1" x14ac:dyDescent="0.2"/>
    <row r="537" s="57" customFormat="1" ht="15.75" customHeight="1" x14ac:dyDescent="0.2"/>
    <row r="538" s="57" customFormat="1" ht="15.75" customHeight="1" x14ac:dyDescent="0.2"/>
    <row r="539" s="57" customFormat="1" ht="15.75" customHeight="1" x14ac:dyDescent="0.2"/>
    <row r="540" s="57" customFormat="1" ht="15.75" customHeight="1" x14ac:dyDescent="0.2"/>
    <row r="541" s="57" customFormat="1" ht="15.75" customHeight="1" x14ac:dyDescent="0.2"/>
    <row r="542" s="57" customFormat="1" ht="15.75" customHeight="1" x14ac:dyDescent="0.2"/>
    <row r="543" s="57" customFormat="1" ht="15.75" customHeight="1" x14ac:dyDescent="0.2"/>
    <row r="544" s="57" customFormat="1" ht="15.75" customHeight="1" x14ac:dyDescent="0.2"/>
    <row r="545" s="57" customFormat="1" ht="15.75" customHeight="1" x14ac:dyDescent="0.2"/>
    <row r="546" s="57" customFormat="1" ht="15.75" customHeight="1" x14ac:dyDescent="0.2"/>
    <row r="547" s="57" customFormat="1" ht="15.75" customHeight="1" x14ac:dyDescent="0.2"/>
    <row r="548" s="57" customFormat="1" ht="15.75" customHeight="1" x14ac:dyDescent="0.2"/>
    <row r="549" s="57" customFormat="1" ht="15.75" customHeight="1" x14ac:dyDescent="0.2"/>
    <row r="550" s="57" customFormat="1" ht="15.75" customHeight="1" x14ac:dyDescent="0.2"/>
    <row r="551" s="57" customFormat="1" ht="15.75" customHeight="1" x14ac:dyDescent="0.2"/>
    <row r="552" s="57" customFormat="1" ht="15.75" customHeight="1" x14ac:dyDescent="0.2"/>
    <row r="553" s="57" customFormat="1" ht="15.75" customHeight="1" x14ac:dyDescent="0.2"/>
    <row r="554" s="57" customFormat="1" ht="15.75" customHeight="1" x14ac:dyDescent="0.2"/>
    <row r="555" s="57" customFormat="1" ht="15.75" customHeight="1" x14ac:dyDescent="0.2"/>
    <row r="556" s="57" customFormat="1" ht="15.75" customHeight="1" x14ac:dyDescent="0.2"/>
    <row r="557" s="57" customFormat="1" ht="15.75" customHeight="1" x14ac:dyDescent="0.2"/>
    <row r="558" s="57" customFormat="1" ht="15.75" customHeight="1" x14ac:dyDescent="0.2"/>
    <row r="559" s="57" customFormat="1" ht="15.75" customHeight="1" x14ac:dyDescent="0.2"/>
    <row r="560" s="57" customFormat="1" ht="15.75" customHeight="1" x14ac:dyDescent="0.2"/>
    <row r="561" s="57" customFormat="1" ht="15.75" customHeight="1" x14ac:dyDescent="0.2"/>
    <row r="562" s="57" customFormat="1" ht="15.75" customHeight="1" x14ac:dyDescent="0.2"/>
    <row r="563" s="57" customFormat="1" ht="15.75" customHeight="1" x14ac:dyDescent="0.2"/>
    <row r="564" s="57" customFormat="1" ht="15.75" customHeight="1" x14ac:dyDescent="0.2"/>
    <row r="565" s="57" customFormat="1" ht="15.75" customHeight="1" x14ac:dyDescent="0.2"/>
    <row r="566" s="57" customFormat="1" ht="15.75" customHeight="1" x14ac:dyDescent="0.2"/>
    <row r="567" s="57" customFormat="1" ht="15.75" customHeight="1" x14ac:dyDescent="0.2"/>
    <row r="568" s="57" customFormat="1" ht="15.75" customHeight="1" x14ac:dyDescent="0.2"/>
    <row r="569" s="57" customFormat="1" ht="15.75" customHeight="1" x14ac:dyDescent="0.2"/>
    <row r="570" s="57" customFormat="1" ht="15.75" customHeight="1" x14ac:dyDescent="0.2"/>
    <row r="571" s="57" customFormat="1" ht="15.75" customHeight="1" x14ac:dyDescent="0.2"/>
    <row r="572" s="57" customFormat="1" ht="15.75" customHeight="1" x14ac:dyDescent="0.2"/>
    <row r="573" s="57" customFormat="1" ht="15.75" customHeight="1" x14ac:dyDescent="0.2"/>
    <row r="574" s="57" customFormat="1" ht="15.75" customHeight="1" x14ac:dyDescent="0.2"/>
    <row r="575" s="57" customFormat="1" ht="15.75" customHeight="1" x14ac:dyDescent="0.2"/>
    <row r="576" s="57" customFormat="1" ht="15.75" customHeight="1" x14ac:dyDescent="0.2"/>
    <row r="577" s="57" customFormat="1" ht="15.75" customHeight="1" x14ac:dyDescent="0.2"/>
    <row r="578" s="57" customFormat="1" ht="15.75" customHeight="1" x14ac:dyDescent="0.2"/>
    <row r="579" s="57" customFormat="1" ht="15.75" customHeight="1" x14ac:dyDescent="0.2"/>
    <row r="580" s="57" customFormat="1" ht="15.75" customHeight="1" x14ac:dyDescent="0.2"/>
    <row r="581" s="57" customFormat="1" ht="15.75" customHeight="1" x14ac:dyDescent="0.2"/>
    <row r="582" s="57" customFormat="1" ht="15.75" customHeight="1" x14ac:dyDescent="0.2"/>
    <row r="583" s="57" customFormat="1" ht="15.75" customHeight="1" x14ac:dyDescent="0.2"/>
    <row r="584" s="57" customFormat="1" ht="15.75" customHeight="1" x14ac:dyDescent="0.2"/>
    <row r="585" s="57" customFormat="1" ht="15.75" customHeight="1" x14ac:dyDescent="0.2"/>
    <row r="586" s="57" customFormat="1" ht="15.75" customHeight="1" x14ac:dyDescent="0.2"/>
    <row r="587" s="57" customFormat="1" ht="15.75" customHeight="1" x14ac:dyDescent="0.2"/>
    <row r="588" s="57" customFormat="1" ht="15.75" customHeight="1" x14ac:dyDescent="0.2"/>
    <row r="589" s="57" customFormat="1" ht="15.75" customHeight="1" x14ac:dyDescent="0.2"/>
    <row r="590" s="57" customFormat="1" ht="15.75" customHeight="1" x14ac:dyDescent="0.2"/>
    <row r="591" s="57" customFormat="1" ht="15.75" customHeight="1" x14ac:dyDescent="0.2"/>
    <row r="592" s="57" customFormat="1" ht="15.75" customHeight="1" x14ac:dyDescent="0.2"/>
    <row r="593" s="57" customFormat="1" ht="15.75" customHeight="1" x14ac:dyDescent="0.2"/>
    <row r="594" s="57" customFormat="1" ht="15.75" customHeight="1" x14ac:dyDescent="0.2"/>
    <row r="595" s="57" customFormat="1" ht="15.75" customHeight="1" x14ac:dyDescent="0.2"/>
    <row r="596" s="57" customFormat="1" ht="15.75" customHeight="1" x14ac:dyDescent="0.2"/>
    <row r="597" s="57" customFormat="1" ht="15.75" customHeight="1" x14ac:dyDescent="0.2"/>
    <row r="598" s="57" customFormat="1" ht="15.75" customHeight="1" x14ac:dyDescent="0.2"/>
    <row r="599" s="57" customFormat="1" ht="15.75" customHeight="1" x14ac:dyDescent="0.2"/>
    <row r="600" s="57" customFormat="1" ht="15.75" customHeight="1" x14ac:dyDescent="0.2"/>
    <row r="601" s="57" customFormat="1" ht="15.75" customHeight="1" x14ac:dyDescent="0.2"/>
    <row r="602" s="57" customFormat="1" ht="15.75" customHeight="1" x14ac:dyDescent="0.2"/>
    <row r="603" s="57" customFormat="1" ht="15.75" customHeight="1" x14ac:dyDescent="0.2"/>
    <row r="604" s="57" customFormat="1" ht="15.75" customHeight="1" x14ac:dyDescent="0.2"/>
    <row r="605" s="57" customFormat="1" ht="15.75" customHeight="1" x14ac:dyDescent="0.2"/>
    <row r="606" s="57" customFormat="1" ht="15.75" customHeight="1" x14ac:dyDescent="0.2"/>
    <row r="607" s="57" customFormat="1" ht="15.75" customHeight="1" x14ac:dyDescent="0.2"/>
    <row r="608" s="57" customFormat="1" ht="15.75" customHeight="1" x14ac:dyDescent="0.2"/>
    <row r="609" s="57" customFormat="1" ht="15.75" customHeight="1" x14ac:dyDescent="0.2"/>
    <row r="610" s="57" customFormat="1" ht="15.75" customHeight="1" x14ac:dyDescent="0.2"/>
    <row r="611" s="57" customFormat="1" ht="15.75" customHeight="1" x14ac:dyDescent="0.2"/>
    <row r="612" s="57" customFormat="1" ht="15.75" customHeight="1" x14ac:dyDescent="0.2"/>
    <row r="613" s="57" customFormat="1" ht="15.75" customHeight="1" x14ac:dyDescent="0.2"/>
    <row r="614" s="57" customFormat="1" ht="15.75" customHeight="1" x14ac:dyDescent="0.2"/>
    <row r="615" s="57" customFormat="1" ht="15.75" customHeight="1" x14ac:dyDescent="0.2"/>
    <row r="616" s="57" customFormat="1" ht="15.75" customHeight="1" x14ac:dyDescent="0.2"/>
    <row r="617" s="57" customFormat="1" ht="15.75" customHeight="1" x14ac:dyDescent="0.2"/>
    <row r="618" s="57" customFormat="1" ht="15.75" customHeight="1" x14ac:dyDescent="0.2"/>
    <row r="619" s="57" customFormat="1" ht="15.75" customHeight="1" x14ac:dyDescent="0.2"/>
    <row r="620" s="57" customFormat="1" ht="15.75" customHeight="1" x14ac:dyDescent="0.2"/>
    <row r="621" s="57" customFormat="1" ht="15.75" customHeight="1" x14ac:dyDescent="0.2"/>
    <row r="622" s="57" customFormat="1" ht="15.75" customHeight="1" x14ac:dyDescent="0.2"/>
    <row r="623" s="57" customFormat="1" ht="15.75" customHeight="1" x14ac:dyDescent="0.2"/>
    <row r="624" s="57" customFormat="1" ht="15.75" customHeight="1" x14ac:dyDescent="0.2"/>
    <row r="625" s="57" customFormat="1" ht="15.75" customHeight="1" x14ac:dyDescent="0.2"/>
    <row r="626" s="57" customFormat="1" ht="15.75" customHeight="1" x14ac:dyDescent="0.2"/>
    <row r="627" s="57" customFormat="1" ht="15.75" customHeight="1" x14ac:dyDescent="0.2"/>
    <row r="628" s="57" customFormat="1" ht="15.75" customHeight="1" x14ac:dyDescent="0.2"/>
    <row r="629" s="57" customFormat="1" ht="15.75" customHeight="1" x14ac:dyDescent="0.2"/>
    <row r="630" s="57" customFormat="1" ht="15.75" customHeight="1" x14ac:dyDescent="0.2"/>
    <row r="631" s="57" customFormat="1" ht="15.75" customHeight="1" x14ac:dyDescent="0.2"/>
    <row r="632" s="57" customFormat="1" ht="15.75" customHeight="1" x14ac:dyDescent="0.2"/>
    <row r="633" s="57" customFormat="1" ht="15.75" customHeight="1" x14ac:dyDescent="0.2"/>
    <row r="634" s="57" customFormat="1" ht="15.75" customHeight="1" x14ac:dyDescent="0.2"/>
    <row r="635" s="57" customFormat="1" ht="15.75" customHeight="1" x14ac:dyDescent="0.2"/>
    <row r="636" s="57" customFormat="1" ht="15.75" customHeight="1" x14ac:dyDescent="0.2"/>
    <row r="637" s="57" customFormat="1" ht="15.75" customHeight="1" x14ac:dyDescent="0.2"/>
    <row r="638" s="57" customFormat="1" ht="15.75" customHeight="1" x14ac:dyDescent="0.2"/>
    <row r="639" s="57" customFormat="1" ht="15.75" customHeight="1" x14ac:dyDescent="0.2"/>
    <row r="640" s="57" customFormat="1" ht="15.75" customHeight="1" x14ac:dyDescent="0.2"/>
    <row r="641" s="57" customFormat="1" ht="15.75" customHeight="1" x14ac:dyDescent="0.2"/>
    <row r="642" s="57" customFormat="1" ht="15.75" customHeight="1" x14ac:dyDescent="0.2"/>
    <row r="643" s="57" customFormat="1" ht="15.75" customHeight="1" x14ac:dyDescent="0.2"/>
    <row r="644" s="57" customFormat="1" ht="15.75" customHeight="1" x14ac:dyDescent="0.2"/>
    <row r="645" s="57" customFormat="1" ht="15.75" customHeight="1" x14ac:dyDescent="0.2"/>
    <row r="646" s="57" customFormat="1" ht="15.75" customHeight="1" x14ac:dyDescent="0.2"/>
    <row r="647" s="57" customFormat="1" ht="15.75" customHeight="1" x14ac:dyDescent="0.2"/>
    <row r="648" s="57" customFormat="1" ht="15.75" customHeight="1" x14ac:dyDescent="0.2"/>
    <row r="649" s="57" customFormat="1" ht="15.75" customHeight="1" x14ac:dyDescent="0.2"/>
    <row r="650" s="57" customFormat="1" ht="15.75" customHeight="1" x14ac:dyDescent="0.2"/>
    <row r="651" s="57" customFormat="1" ht="15.75" customHeight="1" x14ac:dyDescent="0.2"/>
    <row r="652" s="57" customFormat="1" ht="15.75" customHeight="1" x14ac:dyDescent="0.2"/>
    <row r="653" s="57" customFormat="1" ht="15.75" customHeight="1" x14ac:dyDescent="0.2"/>
    <row r="654" s="57" customFormat="1" ht="15.75" customHeight="1" x14ac:dyDescent="0.2"/>
    <row r="655" s="57" customFormat="1" ht="15.75" customHeight="1" x14ac:dyDescent="0.2"/>
    <row r="656" s="57" customFormat="1" ht="15.75" customHeight="1" x14ac:dyDescent="0.2"/>
    <row r="657" s="57" customFormat="1" ht="15.75" customHeight="1" x14ac:dyDescent="0.2"/>
    <row r="658" s="57" customFormat="1" ht="15.75" customHeight="1" x14ac:dyDescent="0.2"/>
    <row r="659" s="57" customFormat="1" ht="15.75" customHeight="1" x14ac:dyDescent="0.2"/>
    <row r="660" s="57" customFormat="1" ht="15.75" customHeight="1" x14ac:dyDescent="0.2"/>
    <row r="661" s="57" customFormat="1" ht="15.75" customHeight="1" x14ac:dyDescent="0.2"/>
    <row r="662" s="57" customFormat="1" ht="15.75" customHeight="1" x14ac:dyDescent="0.2"/>
    <row r="663" s="57" customFormat="1" ht="15.75" customHeight="1" x14ac:dyDescent="0.2"/>
    <row r="664" s="57" customFormat="1" ht="15.75" customHeight="1" x14ac:dyDescent="0.2"/>
    <row r="665" s="57" customFormat="1" ht="15.75" customHeight="1" x14ac:dyDescent="0.2"/>
    <row r="666" s="57" customFormat="1" ht="15.75" customHeight="1" x14ac:dyDescent="0.2"/>
    <row r="667" s="57" customFormat="1" ht="15.75" customHeight="1" x14ac:dyDescent="0.2"/>
    <row r="668" s="57" customFormat="1" ht="15.75" customHeight="1" x14ac:dyDescent="0.2"/>
    <row r="669" s="57" customFormat="1" ht="15.75" customHeight="1" x14ac:dyDescent="0.2"/>
    <row r="670" s="57" customFormat="1" ht="15.75" customHeight="1" x14ac:dyDescent="0.2"/>
    <row r="671" s="57" customFormat="1" ht="15.75" customHeight="1" x14ac:dyDescent="0.2"/>
    <row r="672" s="57" customFormat="1" ht="15.75" customHeight="1" x14ac:dyDescent="0.2"/>
    <row r="673" s="57" customFormat="1" ht="15.75" customHeight="1" x14ac:dyDescent="0.2"/>
    <row r="674" s="57" customFormat="1" ht="15.75" customHeight="1" x14ac:dyDescent="0.2"/>
    <row r="675" s="57" customFormat="1" ht="15.75" customHeight="1" x14ac:dyDescent="0.2"/>
    <row r="676" s="57" customFormat="1" ht="15.75" customHeight="1" x14ac:dyDescent="0.2"/>
    <row r="677" s="57" customFormat="1" ht="15.75" customHeight="1" x14ac:dyDescent="0.2"/>
    <row r="678" s="57" customFormat="1" ht="15.75" customHeight="1" x14ac:dyDescent="0.2"/>
    <row r="679" s="57" customFormat="1" ht="15.75" customHeight="1" x14ac:dyDescent="0.2"/>
    <row r="680" s="57" customFormat="1" ht="15.75" customHeight="1" x14ac:dyDescent="0.2"/>
    <row r="681" s="57" customFormat="1" ht="15.75" customHeight="1" x14ac:dyDescent="0.2"/>
    <row r="682" s="57" customFormat="1" ht="15.75" customHeight="1" x14ac:dyDescent="0.2"/>
    <row r="683" s="57" customFormat="1" ht="15.75" customHeight="1" x14ac:dyDescent="0.2"/>
    <row r="684" s="57" customFormat="1" ht="15.75" customHeight="1" x14ac:dyDescent="0.2"/>
    <row r="685" s="57" customFormat="1" ht="15.75" customHeight="1" x14ac:dyDescent="0.2"/>
    <row r="686" s="57" customFormat="1" ht="15.75" customHeight="1" x14ac:dyDescent="0.2"/>
    <row r="687" s="57" customFormat="1" ht="15.75" customHeight="1" x14ac:dyDescent="0.2"/>
    <row r="688" s="57" customFormat="1" ht="15.75" customHeight="1" x14ac:dyDescent="0.2"/>
    <row r="689" s="57" customFormat="1" ht="15.75" customHeight="1" x14ac:dyDescent="0.2"/>
    <row r="690" s="57" customFormat="1" ht="15.75" customHeight="1" x14ac:dyDescent="0.2"/>
    <row r="691" s="57" customFormat="1" ht="15.75" customHeight="1" x14ac:dyDescent="0.2"/>
    <row r="692" s="57" customFormat="1" ht="15.75" customHeight="1" x14ac:dyDescent="0.2"/>
    <row r="693" s="57" customFormat="1" ht="15.75" customHeight="1" x14ac:dyDescent="0.2"/>
    <row r="694" s="57" customFormat="1" ht="15.75" customHeight="1" x14ac:dyDescent="0.2"/>
    <row r="695" s="57" customFormat="1" ht="15.75" customHeight="1" x14ac:dyDescent="0.2"/>
    <row r="696" s="57" customFormat="1" ht="15.75" customHeight="1" x14ac:dyDescent="0.2"/>
    <row r="697" s="57" customFormat="1" ht="15.75" customHeight="1" x14ac:dyDescent="0.2"/>
    <row r="698" s="57" customFormat="1" ht="15.75" customHeight="1" x14ac:dyDescent="0.2"/>
    <row r="699" s="57" customFormat="1" ht="15.75" customHeight="1" x14ac:dyDescent="0.2"/>
    <row r="700" s="57" customFormat="1" ht="15.75" customHeight="1" x14ac:dyDescent="0.2"/>
    <row r="701" s="57" customFormat="1" ht="15.75" customHeight="1" x14ac:dyDescent="0.2"/>
    <row r="702" s="57" customFormat="1" ht="15.75" customHeight="1" x14ac:dyDescent="0.2"/>
    <row r="703" s="57" customFormat="1" ht="15.75" customHeight="1" x14ac:dyDescent="0.2"/>
    <row r="704" s="57" customFormat="1" ht="15.75" customHeight="1" x14ac:dyDescent="0.2"/>
    <row r="705" s="57" customFormat="1" ht="15.75" customHeight="1" x14ac:dyDescent="0.2"/>
    <row r="706" s="57" customFormat="1" ht="15.75" customHeight="1" x14ac:dyDescent="0.2"/>
    <row r="707" s="57" customFormat="1" ht="15.75" customHeight="1" x14ac:dyDescent="0.2"/>
    <row r="708" s="57" customFormat="1" ht="15.75" customHeight="1" x14ac:dyDescent="0.2"/>
    <row r="709" s="57" customFormat="1" ht="15.75" customHeight="1" x14ac:dyDescent="0.2"/>
    <row r="710" s="57" customFormat="1" ht="15.75" customHeight="1" x14ac:dyDescent="0.2"/>
    <row r="711" s="57" customFormat="1" ht="15.75" customHeight="1" x14ac:dyDescent="0.2"/>
    <row r="712" s="57" customFormat="1" ht="15.75" customHeight="1" x14ac:dyDescent="0.2"/>
    <row r="713" s="57" customFormat="1" ht="15.75" customHeight="1" x14ac:dyDescent="0.2"/>
    <row r="714" s="57" customFormat="1" ht="15.75" customHeight="1" x14ac:dyDescent="0.2"/>
    <row r="715" s="57" customFormat="1" ht="15.75" customHeight="1" x14ac:dyDescent="0.2"/>
    <row r="716" s="57" customFormat="1" ht="15.75" customHeight="1" x14ac:dyDescent="0.2"/>
    <row r="717" s="57" customFormat="1" ht="15.75" customHeight="1" x14ac:dyDescent="0.2"/>
    <row r="718" s="57" customFormat="1" ht="15.75" customHeight="1" x14ac:dyDescent="0.2"/>
    <row r="719" s="57" customFormat="1" ht="15.75" customHeight="1" x14ac:dyDescent="0.2"/>
    <row r="720" s="57" customFormat="1" ht="15.75" customHeight="1" x14ac:dyDescent="0.2"/>
    <row r="721" s="57" customFormat="1" ht="15.75" customHeight="1" x14ac:dyDescent="0.2"/>
    <row r="722" s="57" customFormat="1" ht="15.75" customHeight="1" x14ac:dyDescent="0.2"/>
    <row r="723" s="57" customFormat="1" ht="15.75" customHeight="1" x14ac:dyDescent="0.2"/>
    <row r="724" s="57" customFormat="1" ht="15.75" customHeight="1" x14ac:dyDescent="0.2"/>
    <row r="725" s="57" customFormat="1" ht="15.75" customHeight="1" x14ac:dyDescent="0.2"/>
    <row r="726" s="57" customFormat="1" ht="15.75" customHeight="1" x14ac:dyDescent="0.2"/>
    <row r="727" s="57" customFormat="1" ht="15.75" customHeight="1" x14ac:dyDescent="0.2"/>
    <row r="728" s="57" customFormat="1" ht="15.75" customHeight="1" x14ac:dyDescent="0.2"/>
    <row r="729" s="57" customFormat="1" ht="15.75" customHeight="1" x14ac:dyDescent="0.2"/>
    <row r="730" s="57" customFormat="1" ht="15.75" customHeight="1" x14ac:dyDescent="0.2"/>
    <row r="731" s="57" customFormat="1" ht="15.75" customHeight="1" x14ac:dyDescent="0.2"/>
    <row r="732" s="57" customFormat="1" ht="15.75" customHeight="1" x14ac:dyDescent="0.2"/>
    <row r="733" s="57" customFormat="1" ht="15.75" customHeight="1" x14ac:dyDescent="0.2"/>
    <row r="734" s="57" customFormat="1" ht="15.75" customHeight="1" x14ac:dyDescent="0.2"/>
    <row r="735" s="57" customFormat="1" ht="15.75" customHeight="1" x14ac:dyDescent="0.2"/>
    <row r="736" s="57" customFormat="1" ht="15.75" customHeight="1" x14ac:dyDescent="0.2"/>
    <row r="737" s="57" customFormat="1" ht="15.75" customHeight="1" x14ac:dyDescent="0.2"/>
    <row r="738" s="57" customFormat="1" ht="15.75" customHeight="1" x14ac:dyDescent="0.2"/>
    <row r="739" s="57" customFormat="1" ht="15.75" customHeight="1" x14ac:dyDescent="0.2"/>
    <row r="740" s="57" customFormat="1" ht="15.75" customHeight="1" x14ac:dyDescent="0.2"/>
    <row r="741" s="57" customFormat="1" ht="15.75" customHeight="1" x14ac:dyDescent="0.2"/>
    <row r="742" s="57" customFormat="1" ht="15.75" customHeight="1" x14ac:dyDescent="0.2"/>
    <row r="743" s="57" customFormat="1" ht="15.75" customHeight="1" x14ac:dyDescent="0.2"/>
    <row r="744" s="57" customFormat="1" ht="15.75" customHeight="1" x14ac:dyDescent="0.2"/>
    <row r="745" s="57" customFormat="1" ht="15.75" customHeight="1" x14ac:dyDescent="0.2"/>
    <row r="746" s="57" customFormat="1" ht="15.75" customHeight="1" x14ac:dyDescent="0.2"/>
    <row r="747" s="57" customFormat="1" ht="15.75" customHeight="1" x14ac:dyDescent="0.2"/>
    <row r="748" s="57" customFormat="1" ht="15.75" customHeight="1" x14ac:dyDescent="0.2"/>
    <row r="749" s="57" customFormat="1" ht="15.75" customHeight="1" x14ac:dyDescent="0.2"/>
    <row r="750" s="57" customFormat="1" ht="15.75" customHeight="1" x14ac:dyDescent="0.2"/>
    <row r="751" s="57" customFormat="1" ht="15.75" customHeight="1" x14ac:dyDescent="0.2"/>
    <row r="752" s="57" customFormat="1" ht="15.75" customHeight="1" x14ac:dyDescent="0.2"/>
    <row r="753" s="57" customFormat="1" ht="15.75" customHeight="1" x14ac:dyDescent="0.2"/>
    <row r="754" s="57" customFormat="1" ht="15.75" customHeight="1" x14ac:dyDescent="0.2"/>
    <row r="755" s="57" customFormat="1" ht="15.75" customHeight="1" x14ac:dyDescent="0.2"/>
    <row r="756" s="57" customFormat="1" ht="15.75" customHeight="1" x14ac:dyDescent="0.2"/>
    <row r="757" s="57" customFormat="1" ht="15.75" customHeight="1" x14ac:dyDescent="0.2"/>
    <row r="758" s="57" customFormat="1" ht="15.75" customHeight="1" x14ac:dyDescent="0.2"/>
    <row r="759" s="57" customFormat="1" ht="15.75" customHeight="1" x14ac:dyDescent="0.2"/>
    <row r="760" s="57" customFormat="1" ht="15.75" customHeight="1" x14ac:dyDescent="0.2"/>
    <row r="761" s="57" customFormat="1" ht="15.75" customHeight="1" x14ac:dyDescent="0.2"/>
    <row r="762" s="57" customFormat="1" ht="15.75" customHeight="1" x14ac:dyDescent="0.2"/>
    <row r="763" s="57" customFormat="1" ht="15.75" customHeight="1" x14ac:dyDescent="0.2"/>
    <row r="764" s="57" customFormat="1" ht="15.75" customHeight="1" x14ac:dyDescent="0.2"/>
    <row r="765" s="57" customFormat="1" ht="15.75" customHeight="1" x14ac:dyDescent="0.2"/>
    <row r="766" s="57" customFormat="1" ht="15.75" customHeight="1" x14ac:dyDescent="0.2"/>
    <row r="767" s="57" customFormat="1" ht="15.75" customHeight="1" x14ac:dyDescent="0.2"/>
    <row r="768" s="57" customFormat="1" ht="15.75" customHeight="1" x14ac:dyDescent="0.2"/>
    <row r="769" s="57" customFormat="1" ht="15.75" customHeight="1" x14ac:dyDescent="0.2"/>
    <row r="770" s="57" customFormat="1" ht="15.75" customHeight="1" x14ac:dyDescent="0.2"/>
    <row r="771" s="57" customFormat="1" ht="15.75" customHeight="1" x14ac:dyDescent="0.2"/>
    <row r="772" s="57" customFormat="1" ht="15.75" customHeight="1" x14ac:dyDescent="0.2"/>
    <row r="773" s="57" customFormat="1" ht="15.75" customHeight="1" x14ac:dyDescent="0.2"/>
    <row r="774" s="57" customFormat="1" ht="15.75" customHeight="1" x14ac:dyDescent="0.2"/>
    <row r="775" s="57" customFormat="1" ht="15.75" customHeight="1" x14ac:dyDescent="0.2"/>
    <row r="776" s="57" customFormat="1" ht="15.75" customHeight="1" x14ac:dyDescent="0.2"/>
    <row r="777" s="57" customFormat="1" ht="15.75" customHeight="1" x14ac:dyDescent="0.2"/>
    <row r="778" s="57" customFormat="1" ht="15.75" customHeight="1" x14ac:dyDescent="0.2"/>
    <row r="779" s="57" customFormat="1" ht="15.75" customHeight="1" x14ac:dyDescent="0.2"/>
    <row r="780" s="57" customFormat="1" ht="15.75" customHeight="1" x14ac:dyDescent="0.2"/>
    <row r="781" s="57" customFormat="1" ht="15.75" customHeight="1" x14ac:dyDescent="0.2"/>
    <row r="782" s="57" customFormat="1" ht="15.75" customHeight="1" x14ac:dyDescent="0.2"/>
    <row r="783" s="57" customFormat="1" ht="15.75" customHeight="1" x14ac:dyDescent="0.2"/>
    <row r="784" s="57" customFormat="1" ht="15.75" customHeight="1" x14ac:dyDescent="0.2"/>
    <row r="785" s="57" customFormat="1" ht="15.75" customHeight="1" x14ac:dyDescent="0.2"/>
    <row r="786" s="57" customFormat="1" ht="15.75" customHeight="1" x14ac:dyDescent="0.2"/>
    <row r="787" s="57" customFormat="1" ht="15.75" customHeight="1" x14ac:dyDescent="0.2"/>
    <row r="788" s="57" customFormat="1" ht="15.75" customHeight="1" x14ac:dyDescent="0.2"/>
    <row r="789" s="57" customFormat="1" ht="15.75" customHeight="1" x14ac:dyDescent="0.2"/>
    <row r="790" s="57" customFormat="1" ht="15.75" customHeight="1" x14ac:dyDescent="0.2"/>
    <row r="791" s="57" customFormat="1" ht="15.75" customHeight="1" x14ac:dyDescent="0.2"/>
    <row r="792" s="57" customFormat="1" ht="15.75" customHeight="1" x14ac:dyDescent="0.2"/>
    <row r="793" s="57" customFormat="1" ht="15.75" customHeight="1" x14ac:dyDescent="0.2"/>
    <row r="794" s="57" customFormat="1" ht="15.75" customHeight="1" x14ac:dyDescent="0.2"/>
    <row r="795" s="57" customFormat="1" ht="15.75" customHeight="1" x14ac:dyDescent="0.2"/>
    <row r="796" s="57" customFormat="1" ht="15.75" customHeight="1" x14ac:dyDescent="0.2"/>
    <row r="797" s="57" customFormat="1" ht="15.75" customHeight="1" x14ac:dyDescent="0.2"/>
    <row r="798" s="57" customFormat="1" ht="15.75" customHeight="1" x14ac:dyDescent="0.2"/>
    <row r="799" s="57" customFormat="1" ht="15.75" customHeight="1" x14ac:dyDescent="0.2"/>
    <row r="800" s="57" customFormat="1" ht="15.75" customHeight="1" x14ac:dyDescent="0.2"/>
    <row r="801" s="57" customFormat="1" ht="15.75" customHeight="1" x14ac:dyDescent="0.2"/>
    <row r="802" s="57" customFormat="1" ht="15.75" customHeight="1" x14ac:dyDescent="0.2"/>
    <row r="803" s="57" customFormat="1" ht="15.75" customHeight="1" x14ac:dyDescent="0.2"/>
    <row r="804" s="57" customFormat="1" ht="15.75" customHeight="1" x14ac:dyDescent="0.2"/>
    <row r="805" s="57" customFormat="1" ht="15.75" customHeight="1" x14ac:dyDescent="0.2"/>
    <row r="806" s="57" customFormat="1" ht="15.75" customHeight="1" x14ac:dyDescent="0.2"/>
    <row r="807" s="57" customFormat="1" ht="15.75" customHeight="1" x14ac:dyDescent="0.2"/>
    <row r="808" s="57" customFormat="1" ht="15.75" customHeight="1" x14ac:dyDescent="0.2"/>
    <row r="809" s="57" customFormat="1" ht="15.75" customHeight="1" x14ac:dyDescent="0.2"/>
    <row r="810" s="57" customFormat="1" ht="15.75" customHeight="1" x14ac:dyDescent="0.2"/>
    <row r="811" s="57" customFormat="1" ht="15.75" customHeight="1" x14ac:dyDescent="0.2"/>
    <row r="812" s="57" customFormat="1" ht="15.75" customHeight="1" x14ac:dyDescent="0.2"/>
    <row r="813" s="57" customFormat="1" ht="15.75" customHeight="1" x14ac:dyDescent="0.2"/>
    <row r="814" s="57" customFormat="1" ht="15.75" customHeight="1" x14ac:dyDescent="0.2"/>
    <row r="815" s="57" customFormat="1" ht="15.75" customHeight="1" x14ac:dyDescent="0.2"/>
    <row r="816" s="57" customFormat="1" ht="15.75" customHeight="1" x14ac:dyDescent="0.2"/>
    <row r="817" s="57" customFormat="1" ht="15.75" customHeight="1" x14ac:dyDescent="0.2"/>
    <row r="818" s="57" customFormat="1" ht="15.75" customHeight="1" x14ac:dyDescent="0.2"/>
    <row r="819" s="57" customFormat="1" ht="15.75" customHeight="1" x14ac:dyDescent="0.2"/>
    <row r="820" s="57" customFormat="1" ht="15.75" customHeight="1" x14ac:dyDescent="0.2"/>
    <row r="821" s="57" customFormat="1" ht="15.75" customHeight="1" x14ac:dyDescent="0.2"/>
    <row r="822" s="57" customFormat="1" ht="15.75" customHeight="1" x14ac:dyDescent="0.2"/>
    <row r="823" s="57" customFormat="1" ht="15.75" customHeight="1" x14ac:dyDescent="0.2"/>
    <row r="824" s="57" customFormat="1" ht="15.75" customHeight="1" x14ac:dyDescent="0.2"/>
    <row r="825" s="57" customFormat="1" ht="15.75" customHeight="1" x14ac:dyDescent="0.2"/>
    <row r="826" s="57" customFormat="1" ht="15.75" customHeight="1" x14ac:dyDescent="0.2"/>
    <row r="827" s="57" customFormat="1" ht="15.75" customHeight="1" x14ac:dyDescent="0.2"/>
    <row r="828" s="57" customFormat="1" ht="15.75" customHeight="1" x14ac:dyDescent="0.2"/>
    <row r="829" s="57" customFormat="1" ht="15.75" customHeight="1" x14ac:dyDescent="0.2"/>
    <row r="830" s="57" customFormat="1" ht="15.75" customHeight="1" x14ac:dyDescent="0.2"/>
    <row r="831" s="57" customFormat="1" ht="15.75" customHeight="1" x14ac:dyDescent="0.2"/>
    <row r="832" s="57" customFormat="1" ht="15.75" customHeight="1" x14ac:dyDescent="0.2"/>
    <row r="833" s="57" customFormat="1" ht="15.75" customHeight="1" x14ac:dyDescent="0.2"/>
    <row r="834" s="57" customFormat="1" ht="15.75" customHeight="1" x14ac:dyDescent="0.2"/>
    <row r="835" s="57" customFormat="1" ht="15.75" customHeight="1" x14ac:dyDescent="0.2"/>
    <row r="836" s="57" customFormat="1" ht="15.75" customHeight="1" x14ac:dyDescent="0.2"/>
    <row r="837" s="57" customFormat="1" ht="15.75" customHeight="1" x14ac:dyDescent="0.2"/>
    <row r="838" s="57" customFormat="1" ht="15.75" customHeight="1" x14ac:dyDescent="0.2"/>
    <row r="839" s="57" customFormat="1" ht="15.75" customHeight="1" x14ac:dyDescent="0.2"/>
    <row r="840" s="57" customFormat="1" ht="15.75" customHeight="1" x14ac:dyDescent="0.2"/>
    <row r="841" s="57" customFormat="1" ht="15.75" customHeight="1" x14ac:dyDescent="0.2"/>
    <row r="842" s="57" customFormat="1" ht="15.75" customHeight="1" x14ac:dyDescent="0.2"/>
    <row r="843" s="57" customFormat="1" ht="15.75" customHeight="1" x14ac:dyDescent="0.2"/>
    <row r="844" s="57" customFormat="1" ht="15.75" customHeight="1" x14ac:dyDescent="0.2"/>
    <row r="845" s="57" customFormat="1" ht="15.75" customHeight="1" x14ac:dyDescent="0.2"/>
    <row r="846" s="57" customFormat="1" ht="15.75" customHeight="1" x14ac:dyDescent="0.2"/>
    <row r="847" s="57" customFormat="1" ht="15.75" customHeight="1" x14ac:dyDescent="0.2"/>
    <row r="848" s="57" customFormat="1" ht="15.75" customHeight="1" x14ac:dyDescent="0.2"/>
    <row r="849" s="57" customFormat="1" ht="15.75" customHeight="1" x14ac:dyDescent="0.2"/>
    <row r="850" s="57" customFormat="1" ht="15.75" customHeight="1" x14ac:dyDescent="0.2"/>
    <row r="851" s="57" customFormat="1" ht="15.75" customHeight="1" x14ac:dyDescent="0.2"/>
    <row r="852" s="57" customFormat="1" ht="15.75" customHeight="1" x14ac:dyDescent="0.2"/>
    <row r="853" s="57" customFormat="1" ht="15.75" customHeight="1" x14ac:dyDescent="0.2"/>
    <row r="854" s="57" customFormat="1" ht="15.75" customHeight="1" x14ac:dyDescent="0.2"/>
    <row r="855" s="57" customFormat="1" ht="15.75" customHeight="1" x14ac:dyDescent="0.2"/>
    <row r="856" s="57" customFormat="1" ht="15.75" customHeight="1" x14ac:dyDescent="0.2"/>
    <row r="857" s="57" customFormat="1" ht="15.75" customHeight="1" x14ac:dyDescent="0.2"/>
    <row r="858" s="57" customFormat="1" ht="15.75" customHeight="1" x14ac:dyDescent="0.2"/>
    <row r="859" s="57" customFormat="1" ht="15.75" customHeight="1" x14ac:dyDescent="0.2"/>
    <row r="860" s="57" customFormat="1" ht="15.75" customHeight="1" x14ac:dyDescent="0.2"/>
    <row r="861" s="57" customFormat="1" ht="15.75" customHeight="1" x14ac:dyDescent="0.2"/>
    <row r="862" s="57" customFormat="1" ht="15.75" customHeight="1" x14ac:dyDescent="0.2"/>
    <row r="863" s="57" customFormat="1" ht="15.75" customHeight="1" x14ac:dyDescent="0.2"/>
    <row r="864" s="57" customFormat="1" ht="15.75" customHeight="1" x14ac:dyDescent="0.2"/>
    <row r="865" s="57" customFormat="1" ht="15.75" customHeight="1" x14ac:dyDescent="0.2"/>
    <row r="866" s="57" customFormat="1" ht="15.75" customHeight="1" x14ac:dyDescent="0.2"/>
    <row r="867" s="57" customFormat="1" ht="15.75" customHeight="1" x14ac:dyDescent="0.2"/>
    <row r="868" s="57" customFormat="1" ht="15.75" customHeight="1" x14ac:dyDescent="0.2"/>
    <row r="869" s="57" customFormat="1" ht="15.75" customHeight="1" x14ac:dyDescent="0.2"/>
    <row r="870" s="57" customFormat="1" ht="15.75" customHeight="1" x14ac:dyDescent="0.2"/>
    <row r="871" s="57" customFormat="1" ht="15.75" customHeight="1" x14ac:dyDescent="0.2"/>
    <row r="872" s="57" customFormat="1" ht="15.75" customHeight="1" x14ac:dyDescent="0.2"/>
    <row r="873" s="57" customFormat="1" ht="15.75" customHeight="1" x14ac:dyDescent="0.2"/>
    <row r="874" s="57" customFormat="1" ht="15.75" customHeight="1" x14ac:dyDescent="0.2"/>
    <row r="875" s="57" customFormat="1" ht="15.75" customHeight="1" x14ac:dyDescent="0.2"/>
    <row r="876" s="57" customFormat="1" ht="15.75" customHeight="1" x14ac:dyDescent="0.2"/>
    <row r="877" s="57" customFormat="1" ht="15.75" customHeight="1" x14ac:dyDescent="0.2"/>
    <row r="878" s="57" customFormat="1" ht="15.75" customHeight="1" x14ac:dyDescent="0.2"/>
    <row r="879" s="57" customFormat="1" ht="15.75" customHeight="1" x14ac:dyDescent="0.2"/>
    <row r="880" s="57" customFormat="1" ht="15.75" customHeight="1" x14ac:dyDescent="0.2"/>
    <row r="881" s="57" customFormat="1" ht="15.75" customHeight="1" x14ac:dyDescent="0.2"/>
    <row r="882" s="57" customFormat="1" ht="15.75" customHeight="1" x14ac:dyDescent="0.2"/>
    <row r="883" s="57" customFormat="1" ht="15.75" customHeight="1" x14ac:dyDescent="0.2"/>
    <row r="884" s="57" customFormat="1" ht="15.75" customHeight="1" x14ac:dyDescent="0.2"/>
    <row r="885" s="57" customFormat="1" ht="15.75" customHeight="1" x14ac:dyDescent="0.2"/>
    <row r="886" s="57" customFormat="1" ht="15.75" customHeight="1" x14ac:dyDescent="0.2"/>
    <row r="887" s="57" customFormat="1" ht="15.75" customHeight="1" x14ac:dyDescent="0.2"/>
    <row r="888" s="57" customFormat="1" ht="15.75" customHeight="1" x14ac:dyDescent="0.2"/>
    <row r="889" s="57" customFormat="1" ht="15.75" customHeight="1" x14ac:dyDescent="0.2"/>
    <row r="890" s="57" customFormat="1" ht="15.75" customHeight="1" x14ac:dyDescent="0.2"/>
    <row r="891" s="57" customFormat="1" ht="15.75" customHeight="1" x14ac:dyDescent="0.2"/>
    <row r="892" s="57" customFormat="1" ht="15.75" customHeight="1" x14ac:dyDescent="0.2"/>
    <row r="893" s="57" customFormat="1" ht="15.75" customHeight="1" x14ac:dyDescent="0.2"/>
    <row r="894" s="57" customFormat="1" ht="15.75" customHeight="1" x14ac:dyDescent="0.2"/>
    <row r="895" s="57" customFormat="1" ht="15.75" customHeight="1" x14ac:dyDescent="0.2"/>
    <row r="896" s="57" customFormat="1" ht="15.75" customHeight="1" x14ac:dyDescent="0.2"/>
    <row r="897" s="57" customFormat="1" ht="15.75" customHeight="1" x14ac:dyDescent="0.2"/>
    <row r="898" s="57" customFormat="1" ht="15.75" customHeight="1" x14ac:dyDescent="0.2"/>
    <row r="899" s="57" customFormat="1" ht="15.75" customHeight="1" x14ac:dyDescent="0.2"/>
    <row r="900" s="57" customFormat="1" ht="15.75" customHeight="1" x14ac:dyDescent="0.2"/>
    <row r="901" s="57" customFormat="1" ht="15.75" customHeight="1" x14ac:dyDescent="0.2"/>
    <row r="902" s="57" customFormat="1" ht="15.75" customHeight="1" x14ac:dyDescent="0.2"/>
    <row r="903" s="57" customFormat="1" ht="15.75" customHeight="1" x14ac:dyDescent="0.2"/>
    <row r="904" s="57" customFormat="1" ht="15.75" customHeight="1" x14ac:dyDescent="0.2"/>
    <row r="905" s="57" customFormat="1" ht="15.75" customHeight="1" x14ac:dyDescent="0.2"/>
    <row r="906" s="57" customFormat="1" ht="15.75" customHeight="1" x14ac:dyDescent="0.2"/>
    <row r="907" s="57" customFormat="1" ht="15.75" customHeight="1" x14ac:dyDescent="0.2"/>
    <row r="908" s="57" customFormat="1" ht="15.75" customHeight="1" x14ac:dyDescent="0.2"/>
    <row r="909" s="57" customFormat="1" ht="15.75" customHeight="1" x14ac:dyDescent="0.2"/>
    <row r="910" s="57" customFormat="1" ht="15.75" customHeight="1" x14ac:dyDescent="0.2"/>
    <row r="911" s="57" customFormat="1" ht="15.75" customHeight="1" x14ac:dyDescent="0.2"/>
    <row r="912" s="57" customFormat="1" ht="15.75" customHeight="1" x14ac:dyDescent="0.2"/>
    <row r="913" s="57" customFormat="1" ht="15.75" customHeight="1" x14ac:dyDescent="0.2"/>
    <row r="914" s="57" customFormat="1" ht="15.75" customHeight="1" x14ac:dyDescent="0.2"/>
    <row r="915" s="57" customFormat="1" ht="15.75" customHeight="1" x14ac:dyDescent="0.2"/>
    <row r="916" s="57" customFormat="1" ht="15.75" customHeight="1" x14ac:dyDescent="0.2"/>
    <row r="917" s="57" customFormat="1" ht="15.75" customHeight="1" x14ac:dyDescent="0.2"/>
    <row r="918" s="57" customFormat="1" ht="15.75" customHeight="1" x14ac:dyDescent="0.2"/>
    <row r="919" s="57" customFormat="1" ht="15.75" customHeight="1" x14ac:dyDescent="0.2"/>
    <row r="920" s="57" customFormat="1" ht="15.75" customHeight="1" x14ac:dyDescent="0.2"/>
    <row r="921" s="57" customFormat="1" ht="15.75" customHeight="1" x14ac:dyDescent="0.2"/>
    <row r="922" s="57" customFormat="1" ht="15.75" customHeight="1" x14ac:dyDescent="0.2"/>
    <row r="923" s="57" customFormat="1" ht="15.75" customHeight="1" x14ac:dyDescent="0.2"/>
    <row r="924" s="57" customFormat="1" ht="15.75" customHeight="1" x14ac:dyDescent="0.2"/>
    <row r="925" s="57" customFormat="1" ht="15.75" customHeight="1" x14ac:dyDescent="0.2"/>
    <row r="926" s="57" customFormat="1" ht="15.75" customHeight="1" x14ac:dyDescent="0.2"/>
    <row r="927" s="57" customFormat="1" ht="15.75" customHeight="1" x14ac:dyDescent="0.2"/>
    <row r="928" s="57" customFormat="1" ht="15.75" customHeight="1" x14ac:dyDescent="0.2"/>
    <row r="929" s="57" customFormat="1" ht="15.75" customHeight="1" x14ac:dyDescent="0.2"/>
    <row r="930" s="57" customFormat="1" ht="15.75" customHeight="1" x14ac:dyDescent="0.2"/>
    <row r="931" s="57" customFormat="1" ht="15.75" customHeight="1" x14ac:dyDescent="0.2"/>
    <row r="932" s="57" customFormat="1" ht="15.75" customHeight="1" x14ac:dyDescent="0.2"/>
    <row r="933" s="57" customFormat="1" ht="15.75" customHeight="1" x14ac:dyDescent="0.2"/>
    <row r="934" s="57" customFormat="1" ht="15.75" customHeight="1" x14ac:dyDescent="0.2"/>
    <row r="935" s="57" customFormat="1" ht="15.75" customHeight="1" x14ac:dyDescent="0.2"/>
    <row r="936" s="57" customFormat="1" ht="15.75" customHeight="1" x14ac:dyDescent="0.2"/>
    <row r="937" s="57" customFormat="1" ht="15.75" customHeight="1" x14ac:dyDescent="0.2"/>
    <row r="938" s="57" customFormat="1" ht="15.75" customHeight="1" x14ac:dyDescent="0.2"/>
    <row r="939" s="57" customFormat="1" ht="15.75" customHeight="1" x14ac:dyDescent="0.2"/>
    <row r="940" s="57" customFormat="1" ht="15.75" customHeight="1" x14ac:dyDescent="0.2"/>
    <row r="941" s="57" customFormat="1" ht="15.75" customHeight="1" x14ac:dyDescent="0.2"/>
    <row r="942" s="57" customFormat="1" ht="15.75" customHeight="1" x14ac:dyDescent="0.2"/>
    <row r="943" s="57" customFormat="1" ht="15.75" customHeight="1" x14ac:dyDescent="0.2"/>
    <row r="944" s="57" customFormat="1" ht="15.75" customHeight="1" x14ac:dyDescent="0.2"/>
    <row r="945" s="57" customFormat="1" ht="15.75" customHeight="1" x14ac:dyDescent="0.2"/>
    <row r="946" s="57" customFormat="1" ht="15.75" customHeight="1" x14ac:dyDescent="0.2"/>
    <row r="947" s="57" customFormat="1" ht="15.75" customHeight="1" x14ac:dyDescent="0.2"/>
    <row r="948" s="57" customFormat="1" ht="15.75" customHeight="1" x14ac:dyDescent="0.2"/>
    <row r="949" s="57" customFormat="1" ht="15.75" customHeight="1" x14ac:dyDescent="0.2"/>
    <row r="950" s="57" customFormat="1" ht="15.75" customHeight="1" x14ac:dyDescent="0.2"/>
    <row r="951" s="57" customFormat="1" ht="15.75" customHeight="1" x14ac:dyDescent="0.2"/>
    <row r="952" s="57" customFormat="1" ht="15.75" customHeight="1" x14ac:dyDescent="0.2"/>
    <row r="953" s="57" customFormat="1" ht="15.75" customHeight="1" x14ac:dyDescent="0.2"/>
    <row r="954" s="57" customFormat="1" ht="15.75" customHeight="1" x14ac:dyDescent="0.2"/>
    <row r="955" s="57" customFormat="1" ht="15.75" customHeight="1" x14ac:dyDescent="0.2"/>
    <row r="956" s="57" customFormat="1" ht="15.75" customHeight="1" x14ac:dyDescent="0.2"/>
    <row r="957" s="57" customFormat="1" ht="15.75" customHeight="1" x14ac:dyDescent="0.2"/>
    <row r="958" s="57" customFormat="1" ht="15.75" customHeight="1" x14ac:dyDescent="0.2"/>
    <row r="959" s="57" customFormat="1" ht="15.75" customHeight="1" x14ac:dyDescent="0.2"/>
    <row r="960" s="57" customFormat="1" ht="15.75" customHeight="1" x14ac:dyDescent="0.2"/>
    <row r="961" s="57" customFormat="1" ht="15.75" customHeight="1" x14ac:dyDescent="0.2"/>
    <row r="962" s="57" customFormat="1" ht="15.75" customHeight="1" x14ac:dyDescent="0.2"/>
    <row r="963" s="57" customFormat="1" ht="15.75" customHeight="1" x14ac:dyDescent="0.2"/>
    <row r="964" s="57" customFormat="1" ht="15.75" customHeight="1" x14ac:dyDescent="0.2"/>
    <row r="965" s="57" customFormat="1" ht="15.75" customHeight="1" x14ac:dyDescent="0.2"/>
    <row r="966" s="57" customFormat="1" ht="15.75" customHeight="1" x14ac:dyDescent="0.2"/>
    <row r="967" s="57" customFormat="1" ht="15.75" customHeight="1" x14ac:dyDescent="0.2"/>
    <row r="968" s="57" customFormat="1" ht="15.75" customHeight="1" x14ac:dyDescent="0.2"/>
    <row r="969" s="57" customFormat="1" ht="15.75" customHeight="1" x14ac:dyDescent="0.2"/>
    <row r="970" s="57" customFormat="1" ht="15.75" customHeight="1" x14ac:dyDescent="0.2"/>
    <row r="971" s="57" customFormat="1" ht="15.75" customHeight="1" x14ac:dyDescent="0.2"/>
    <row r="972" s="57" customFormat="1" ht="15.75" customHeight="1" x14ac:dyDescent="0.2"/>
    <row r="973" s="57" customFormat="1" ht="15.75" customHeight="1" x14ac:dyDescent="0.2"/>
    <row r="974" s="57" customFormat="1" ht="15.75" customHeight="1" x14ac:dyDescent="0.2"/>
    <row r="975" s="57" customFormat="1" ht="15.75" customHeight="1" x14ac:dyDescent="0.2"/>
    <row r="976" s="57" customFormat="1" ht="15.75" customHeight="1" x14ac:dyDescent="0.2"/>
    <row r="977" s="57" customFormat="1" ht="15.75" customHeight="1" x14ac:dyDescent="0.2"/>
    <row r="978" s="57" customFormat="1" ht="15.75" customHeight="1" x14ac:dyDescent="0.2"/>
    <row r="979" s="57" customFormat="1" ht="15.75" customHeight="1" x14ac:dyDescent="0.2"/>
    <row r="980" s="57" customFormat="1" ht="15.75" customHeight="1" x14ac:dyDescent="0.2"/>
    <row r="981" s="57" customFormat="1" ht="15.75" customHeight="1" x14ac:dyDescent="0.2"/>
    <row r="982" s="57" customFormat="1" ht="15.75" customHeight="1" x14ac:dyDescent="0.2"/>
    <row r="983" s="57" customFormat="1" ht="15.75" customHeight="1" x14ac:dyDescent="0.2"/>
    <row r="984" s="57" customFormat="1" ht="15.75" customHeight="1" x14ac:dyDescent="0.2"/>
    <row r="985" s="57" customFormat="1" ht="15.75" customHeight="1" x14ac:dyDescent="0.2"/>
    <row r="986" s="57" customFormat="1" ht="15.75" customHeight="1" x14ac:dyDescent="0.2"/>
    <row r="987" s="57" customFormat="1" ht="15.75" customHeight="1" x14ac:dyDescent="0.2"/>
    <row r="988" s="57" customFormat="1" ht="15.75" customHeight="1" x14ac:dyDescent="0.2"/>
    <row r="989" s="57" customFormat="1" ht="15.75" customHeight="1" x14ac:dyDescent="0.2"/>
    <row r="990" s="57" customFormat="1" ht="15.75" customHeight="1" x14ac:dyDescent="0.2"/>
    <row r="991" s="57" customFormat="1" ht="15.75" customHeight="1" x14ac:dyDescent="0.2"/>
    <row r="992" s="57" customFormat="1" ht="15.75" customHeight="1" x14ac:dyDescent="0.2"/>
    <row r="993" s="57" customFormat="1" ht="15.75" customHeight="1" x14ac:dyDescent="0.2"/>
    <row r="994" s="57" customFormat="1" ht="15.75" customHeight="1" x14ac:dyDescent="0.2"/>
    <row r="995" s="57" customFormat="1" ht="15.75" customHeight="1" x14ac:dyDescent="0.2"/>
    <row r="996" s="57" customFormat="1" ht="15.75" customHeight="1" x14ac:dyDescent="0.2"/>
    <row r="997" s="57" customFormat="1" ht="15.75" customHeight="1" x14ac:dyDescent="0.2"/>
    <row r="998" s="57" customFormat="1" ht="15.75" customHeight="1" x14ac:dyDescent="0.2"/>
    <row r="999" s="57" customFormat="1" ht="15.75" customHeight="1" x14ac:dyDescent="0.2"/>
  </sheetData>
  <sortState xmlns:xlrd2="http://schemas.microsoft.com/office/spreadsheetml/2017/richdata2" ref="B33:B34">
    <sortCondition descending="1" ref="B34"/>
  </sortState>
  <mergeCells count="3">
    <mergeCell ref="G18:H18"/>
    <mergeCell ref="G29:H29"/>
    <mergeCell ref="G36:H36"/>
  </mergeCells>
  <conditionalFormatting sqref="B2:H13">
    <cfRule type="cellIs" dxfId="15" priority="13" operator="equal">
      <formula>0</formula>
    </cfRule>
  </conditionalFormatting>
  <conditionalFormatting sqref="A15:A35">
    <cfRule type="cellIs" dxfId="14" priority="4" operator="equal">
      <formula>0</formula>
    </cfRule>
  </conditionalFormatting>
  <conditionalFormatting sqref="A14:E14 C15:E48 C49:C53">
    <cfRule type="cellIs" dxfId="13" priority="3" operator="equal">
      <formula>0</formula>
    </cfRule>
  </conditionalFormatting>
  <conditionalFormatting sqref="B15:B52">
    <cfRule type="cellIs" dxfId="12" priority="2" operator="equal">
      <formula>0</formula>
    </cfRule>
  </conditionalFormatting>
  <conditionalFormatting sqref="A36:A50">
    <cfRule type="cellIs" dxfId="11" priority="1" operator="equal">
      <formula>0</formula>
    </cfRule>
  </conditionalFormatting>
  <pageMargins left="0.3" right="0" top="0.5" bottom="0" header="0" footer="0"/>
  <pageSetup scale="99" orientation="portrait" verticalDpi="4294967294" r:id="rId1"/>
  <headerFooter>
    <oddHeader>&amp;C&amp;"Arial Black,Regular"&amp;20FRIDAY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2BA2E-4A96-4082-A8AB-CD88DB878243}">
  <sheetPr>
    <pageSetUpPr fitToPage="1"/>
  </sheetPr>
  <dimension ref="A1:E36"/>
  <sheetViews>
    <sheetView workbookViewId="0">
      <selection activeCell="B20" sqref="B20"/>
    </sheetView>
  </sheetViews>
  <sheetFormatPr defaultRowHeight="15" x14ac:dyDescent="0.25"/>
  <cols>
    <col min="1" max="1" width="10.7109375" style="43" customWidth="1"/>
    <col min="2" max="3" width="32.7109375" customWidth="1"/>
    <col min="4" max="4" width="10.7109375" style="43" customWidth="1"/>
    <col min="5" max="5" width="32.7109375" customWidth="1"/>
  </cols>
  <sheetData>
    <row r="1" spans="1:5" ht="24.95" customHeight="1" thickBot="1" x14ac:dyDescent="0.3">
      <c r="A1" s="89" t="s">
        <v>69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5" t="s">
        <v>71</v>
      </c>
      <c r="E2" s="96"/>
    </row>
    <row r="3" spans="1:5" ht="24.95" customHeight="1" thickBot="1" x14ac:dyDescent="0.3">
      <c r="A3" s="42" t="s">
        <v>80</v>
      </c>
      <c r="B3" s="38"/>
      <c r="C3" s="38"/>
      <c r="D3" s="87" t="s">
        <v>80</v>
      </c>
      <c r="E3" s="39"/>
    </row>
    <row r="4" spans="1:5" ht="24.95" customHeight="1" thickBot="1" x14ac:dyDescent="0.3">
      <c r="A4" s="42" t="s">
        <v>97</v>
      </c>
      <c r="B4" s="39"/>
      <c r="C4" s="38"/>
      <c r="D4" s="88"/>
      <c r="E4" s="38"/>
    </row>
    <row r="5" spans="1:5" ht="24.95" customHeight="1" thickBot="1" x14ac:dyDescent="0.3">
      <c r="A5" s="42" t="s">
        <v>81</v>
      </c>
      <c r="B5" s="39"/>
      <c r="C5" s="38"/>
      <c r="D5" s="87" t="s">
        <v>81</v>
      </c>
      <c r="E5" s="39"/>
    </row>
    <row r="6" spans="1:5" ht="24.95" customHeight="1" thickBot="1" x14ac:dyDescent="0.3">
      <c r="A6" s="42" t="s">
        <v>98</v>
      </c>
      <c r="B6" s="40"/>
      <c r="C6" s="38"/>
      <c r="D6" s="88"/>
      <c r="E6" s="38"/>
    </row>
    <row r="7" spans="1:5" ht="24.95" customHeight="1" thickBot="1" x14ac:dyDescent="0.3">
      <c r="A7" s="42" t="s">
        <v>82</v>
      </c>
      <c r="B7" s="39"/>
      <c r="C7" s="38"/>
      <c r="D7" s="87" t="s">
        <v>82</v>
      </c>
      <c r="E7" s="39"/>
    </row>
    <row r="8" spans="1:5" ht="24.95" customHeight="1" thickBot="1" x14ac:dyDescent="0.3">
      <c r="A8" s="42" t="s">
        <v>99</v>
      </c>
      <c r="B8" s="40"/>
      <c r="C8" s="38"/>
      <c r="D8" s="88"/>
      <c r="E8" s="38"/>
    </row>
    <row r="9" spans="1:5" ht="24.95" customHeight="1" thickBot="1" x14ac:dyDescent="0.3">
      <c r="A9" s="42" t="s">
        <v>83</v>
      </c>
      <c r="B9" s="39"/>
      <c r="C9" s="38"/>
      <c r="D9" s="87" t="s">
        <v>83</v>
      </c>
      <c r="E9" s="39"/>
    </row>
    <row r="10" spans="1:5" ht="24.95" customHeight="1" thickBot="1" x14ac:dyDescent="0.3">
      <c r="A10" s="42" t="s">
        <v>100</v>
      </c>
      <c r="B10" s="40"/>
      <c r="C10" s="38"/>
      <c r="D10" s="88"/>
      <c r="E10" s="38"/>
    </row>
    <row r="11" spans="1:5" ht="24.95" customHeight="1" thickBot="1" x14ac:dyDescent="0.3">
      <c r="A11" s="42" t="s">
        <v>84</v>
      </c>
      <c r="B11" s="39"/>
      <c r="C11" s="38"/>
      <c r="D11" s="87" t="s">
        <v>84</v>
      </c>
      <c r="E11" s="40"/>
    </row>
    <row r="12" spans="1:5" ht="24.95" customHeight="1" thickBot="1" x14ac:dyDescent="0.3">
      <c r="A12" s="42" t="s">
        <v>101</v>
      </c>
      <c r="B12" s="39"/>
      <c r="C12" s="38"/>
      <c r="D12" s="88"/>
      <c r="E12" s="38"/>
    </row>
    <row r="13" spans="1:5" ht="24.95" customHeight="1" thickBot="1" x14ac:dyDescent="0.3">
      <c r="A13" s="42" t="s">
        <v>85</v>
      </c>
      <c r="B13" s="39"/>
      <c r="C13" s="38"/>
      <c r="D13" s="87" t="s">
        <v>85</v>
      </c>
      <c r="E13" s="39"/>
    </row>
    <row r="14" spans="1:5" ht="24.95" customHeight="1" thickBot="1" x14ac:dyDescent="0.3">
      <c r="A14" s="42" t="s">
        <v>102</v>
      </c>
      <c r="B14" s="39"/>
      <c r="C14" s="38"/>
      <c r="D14" s="88"/>
      <c r="E14" s="38"/>
    </row>
    <row r="15" spans="1:5" ht="24.95" customHeight="1" thickBot="1" x14ac:dyDescent="0.3">
      <c r="A15" s="42" t="s">
        <v>86</v>
      </c>
      <c r="B15" s="39"/>
      <c r="C15" s="70"/>
      <c r="D15" s="87" t="s">
        <v>86</v>
      </c>
      <c r="E15" s="38"/>
    </row>
    <row r="16" spans="1:5" ht="24.95" customHeight="1" thickBot="1" x14ac:dyDescent="0.3">
      <c r="A16" s="42" t="s">
        <v>103</v>
      </c>
      <c r="B16" s="39"/>
      <c r="C16" s="70"/>
      <c r="D16" s="88"/>
      <c r="E16" s="38"/>
    </row>
    <row r="17" spans="1:5" ht="24.95" customHeight="1" thickBot="1" x14ac:dyDescent="0.3">
      <c r="A17" s="42" t="s">
        <v>87</v>
      </c>
      <c r="B17" s="39"/>
      <c r="C17" s="38"/>
      <c r="D17" s="87" t="s">
        <v>87</v>
      </c>
      <c r="E17" s="39"/>
    </row>
    <row r="18" spans="1:5" ht="24.95" customHeight="1" thickBot="1" x14ac:dyDescent="0.3">
      <c r="A18" s="42" t="s">
        <v>104</v>
      </c>
      <c r="B18" s="39"/>
      <c r="C18" s="38"/>
      <c r="D18" s="88"/>
      <c r="E18" s="38"/>
    </row>
    <row r="19" spans="1:5" ht="24.95" customHeight="1" thickBot="1" x14ac:dyDescent="0.3">
      <c r="A19" s="42" t="s">
        <v>88</v>
      </c>
      <c r="B19" s="38"/>
      <c r="C19" s="38"/>
      <c r="D19" s="87" t="s">
        <v>88</v>
      </c>
      <c r="E19" s="39"/>
    </row>
    <row r="20" spans="1:5" ht="24.95" customHeight="1" thickBot="1" x14ac:dyDescent="0.3">
      <c r="A20" s="42" t="s">
        <v>105</v>
      </c>
      <c r="B20" s="70"/>
      <c r="C20" s="38"/>
      <c r="D20" s="88"/>
      <c r="E20" s="38"/>
    </row>
    <row r="21" spans="1:5" ht="24.95" customHeight="1" thickBot="1" x14ac:dyDescent="0.3">
      <c r="A21" s="42" t="s">
        <v>89</v>
      </c>
      <c r="B21" s="39"/>
      <c r="C21" s="38"/>
      <c r="D21" s="87" t="s">
        <v>89</v>
      </c>
      <c r="E21" s="41"/>
    </row>
    <row r="22" spans="1:5" ht="24.95" customHeight="1" thickBot="1" x14ac:dyDescent="0.3">
      <c r="A22" s="42" t="s">
        <v>106</v>
      </c>
      <c r="B22" s="39"/>
      <c r="C22" s="38"/>
      <c r="D22" s="88"/>
      <c r="E22" s="38"/>
    </row>
    <row r="23" spans="1:5" ht="24.95" customHeight="1" thickBot="1" x14ac:dyDescent="0.3">
      <c r="A23" s="42" t="s">
        <v>90</v>
      </c>
      <c r="B23" s="39"/>
      <c r="C23" s="39"/>
      <c r="D23" s="87" t="s">
        <v>90</v>
      </c>
      <c r="E23" s="39"/>
    </row>
    <row r="24" spans="1:5" ht="24.95" customHeight="1" thickBot="1" x14ac:dyDescent="0.3">
      <c r="A24" s="42" t="s">
        <v>107</v>
      </c>
      <c r="B24" s="40"/>
      <c r="C24" s="38"/>
      <c r="D24" s="88"/>
      <c r="E24" s="39"/>
    </row>
    <row r="25" spans="1:5" ht="24.95" customHeight="1" thickBot="1" x14ac:dyDescent="0.3">
      <c r="A25" s="42" t="s">
        <v>91</v>
      </c>
      <c r="B25" s="39"/>
      <c r="C25" s="39"/>
      <c r="D25" s="87" t="s">
        <v>91</v>
      </c>
      <c r="E25" s="39"/>
    </row>
    <row r="26" spans="1:5" ht="24.95" customHeight="1" thickBot="1" x14ac:dyDescent="0.3">
      <c r="A26" s="42" t="s">
        <v>108</v>
      </c>
      <c r="B26" s="40"/>
      <c r="C26" s="38"/>
      <c r="D26" s="88"/>
      <c r="E26" s="39"/>
    </row>
    <row r="27" spans="1:5" ht="24.95" customHeight="1" thickBot="1" x14ac:dyDescent="0.3">
      <c r="A27" s="42" t="s">
        <v>92</v>
      </c>
      <c r="B27" s="39"/>
      <c r="C27" s="39"/>
      <c r="D27" s="87" t="s">
        <v>92</v>
      </c>
      <c r="E27" s="39"/>
    </row>
    <row r="28" spans="1:5" ht="24.95" customHeight="1" thickBot="1" x14ac:dyDescent="0.3">
      <c r="A28" s="42" t="s">
        <v>109</v>
      </c>
      <c r="B28" s="39"/>
      <c r="C28" s="38"/>
      <c r="D28" s="88"/>
      <c r="E28" s="39"/>
    </row>
    <row r="29" spans="1:5" ht="24.95" customHeight="1" thickBot="1" x14ac:dyDescent="0.3">
      <c r="A29" s="42" t="s">
        <v>93</v>
      </c>
      <c r="B29" s="39"/>
      <c r="C29" s="38"/>
      <c r="D29" s="87" t="s">
        <v>93</v>
      </c>
      <c r="E29" s="39"/>
    </row>
    <row r="30" spans="1:5" ht="24.95" customHeight="1" thickBot="1" x14ac:dyDescent="0.3">
      <c r="A30" s="42" t="s">
        <v>110</v>
      </c>
      <c r="B30" s="40"/>
      <c r="C30" s="38"/>
      <c r="D30" s="88"/>
      <c r="E30" s="39"/>
    </row>
    <row r="31" spans="1:5" ht="24.95" customHeight="1" thickBot="1" x14ac:dyDescent="0.3">
      <c r="A31" s="42" t="s">
        <v>94</v>
      </c>
      <c r="B31" s="39"/>
      <c r="C31" s="38"/>
      <c r="D31" s="87" t="s">
        <v>94</v>
      </c>
      <c r="E31" s="39"/>
    </row>
    <row r="32" spans="1:5" ht="24.95" customHeight="1" thickBot="1" x14ac:dyDescent="0.3">
      <c r="A32" s="42" t="s">
        <v>111</v>
      </c>
      <c r="B32" s="40"/>
      <c r="C32" s="39"/>
      <c r="D32" s="88"/>
      <c r="E32" s="39"/>
    </row>
    <row r="33" spans="1:5" ht="24.95" customHeight="1" thickBot="1" x14ac:dyDescent="0.3">
      <c r="A33" s="42" t="s">
        <v>95</v>
      </c>
      <c r="B33" s="39"/>
      <c r="C33" s="38"/>
      <c r="D33" s="87" t="s">
        <v>95</v>
      </c>
      <c r="E33" s="40"/>
    </row>
    <row r="34" spans="1:5" ht="24.95" customHeight="1" thickBot="1" x14ac:dyDescent="0.3">
      <c r="A34" s="42" t="s">
        <v>112</v>
      </c>
      <c r="B34" s="39"/>
      <c r="C34" s="38"/>
      <c r="D34" s="88"/>
      <c r="E34" s="38"/>
    </row>
    <row r="35" spans="1:5" ht="24.95" customHeight="1" thickBot="1" x14ac:dyDescent="0.3">
      <c r="A35" s="42" t="s">
        <v>96</v>
      </c>
      <c r="B35" s="39"/>
      <c r="C35" s="38"/>
      <c r="D35" s="87" t="s">
        <v>96</v>
      </c>
      <c r="E35" s="39"/>
    </row>
    <row r="36" spans="1:5" ht="24.95" customHeight="1" thickBot="1" x14ac:dyDescent="0.3">
      <c r="A36" s="42" t="s">
        <v>113</v>
      </c>
      <c r="B36" s="39"/>
      <c r="C36" s="38"/>
      <c r="D36" s="88"/>
      <c r="E36" s="38"/>
    </row>
  </sheetData>
  <mergeCells count="20">
    <mergeCell ref="D19:D20"/>
    <mergeCell ref="A1:E1"/>
    <mergeCell ref="A2:C2"/>
    <mergeCell ref="D2:E2"/>
    <mergeCell ref="D3:D4"/>
    <mergeCell ref="D5:D6"/>
    <mergeCell ref="D7:D8"/>
    <mergeCell ref="D9:D10"/>
    <mergeCell ref="D11:D12"/>
    <mergeCell ref="D13:D14"/>
    <mergeCell ref="D15:D16"/>
    <mergeCell ref="D17:D18"/>
    <mergeCell ref="D33:D34"/>
    <mergeCell ref="D35:D36"/>
    <mergeCell ref="D21:D22"/>
    <mergeCell ref="D23:D24"/>
    <mergeCell ref="D25:D26"/>
    <mergeCell ref="D27:D28"/>
    <mergeCell ref="D29:D30"/>
    <mergeCell ref="D31:D32"/>
  </mergeCells>
  <printOptions gridLines="1"/>
  <pageMargins left="0.7" right="0.7" top="0.75" bottom="0.75" header="0.3" footer="0.3"/>
  <pageSetup scale="75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6DE22-56A1-42F3-9C9F-E3DA3566765E}">
  <sheetPr>
    <pageSetUpPr fitToPage="1"/>
  </sheetPr>
  <dimension ref="A1:E36"/>
  <sheetViews>
    <sheetView workbookViewId="0">
      <selection activeCell="B20" sqref="B20"/>
    </sheetView>
  </sheetViews>
  <sheetFormatPr defaultRowHeight="15" x14ac:dyDescent="0.25"/>
  <cols>
    <col min="1" max="1" width="10.7109375" style="45" customWidth="1"/>
    <col min="2" max="3" width="32.7109375" customWidth="1"/>
    <col min="4" max="4" width="10.7109375" style="45" customWidth="1"/>
    <col min="5" max="5" width="32.7109375" customWidth="1"/>
  </cols>
  <sheetData>
    <row r="1" spans="1:5" ht="24.95" customHeight="1" thickBot="1" x14ac:dyDescent="0.3">
      <c r="A1" s="89" t="s">
        <v>72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2" t="s">
        <v>71</v>
      </c>
      <c r="E2" s="94"/>
    </row>
    <row r="3" spans="1:5" ht="24.95" customHeight="1" thickBot="1" x14ac:dyDescent="0.3">
      <c r="A3" s="44">
        <v>1130</v>
      </c>
      <c r="B3" s="38"/>
      <c r="C3" s="38"/>
      <c r="D3" s="46">
        <v>1130</v>
      </c>
      <c r="E3" s="39"/>
    </row>
    <row r="4" spans="1:5" ht="24.95" customHeight="1" thickBot="1" x14ac:dyDescent="0.3">
      <c r="A4" s="44">
        <v>1145</v>
      </c>
      <c r="B4" s="39"/>
      <c r="C4" s="39"/>
      <c r="D4" s="46"/>
      <c r="E4" s="39"/>
    </row>
    <row r="5" spans="1:5" ht="24.95" customHeight="1" thickBot="1" x14ac:dyDescent="0.3">
      <c r="A5" s="44">
        <v>1200</v>
      </c>
      <c r="B5" s="39"/>
      <c r="C5" s="38"/>
      <c r="D5" s="46">
        <v>1200</v>
      </c>
      <c r="E5" s="39"/>
    </row>
    <row r="6" spans="1:5" ht="24.95" customHeight="1" thickBot="1" x14ac:dyDescent="0.3">
      <c r="A6" s="44">
        <v>1215</v>
      </c>
      <c r="B6" s="39"/>
      <c r="C6" s="39"/>
      <c r="D6" s="46"/>
      <c r="E6" s="39"/>
    </row>
    <row r="7" spans="1:5" ht="24.95" customHeight="1" thickBot="1" x14ac:dyDescent="0.3">
      <c r="A7" s="44">
        <v>1230</v>
      </c>
      <c r="B7" s="39"/>
      <c r="C7" s="38"/>
      <c r="D7" s="46">
        <v>1230</v>
      </c>
      <c r="E7" s="39"/>
    </row>
    <row r="8" spans="1:5" ht="24.95" customHeight="1" thickBot="1" x14ac:dyDescent="0.3">
      <c r="A8" s="44">
        <v>1245</v>
      </c>
      <c r="B8" s="39"/>
      <c r="C8" s="39"/>
      <c r="D8" s="46"/>
      <c r="E8" s="39"/>
    </row>
    <row r="9" spans="1:5" ht="24.95" customHeight="1" thickBot="1" x14ac:dyDescent="0.3">
      <c r="A9" s="44">
        <v>1300</v>
      </c>
      <c r="B9" s="39"/>
      <c r="C9" s="38"/>
      <c r="D9" s="46">
        <v>1300</v>
      </c>
      <c r="E9" s="39"/>
    </row>
    <row r="10" spans="1:5" ht="24.95" customHeight="1" thickBot="1" x14ac:dyDescent="0.3">
      <c r="A10" s="44">
        <v>1315</v>
      </c>
      <c r="B10" s="39"/>
      <c r="C10" s="38"/>
      <c r="D10" s="46"/>
      <c r="E10" s="39"/>
    </row>
    <row r="11" spans="1:5" ht="24.95" customHeight="1" thickBot="1" x14ac:dyDescent="0.3">
      <c r="A11" s="44">
        <v>1330</v>
      </c>
      <c r="B11" s="39"/>
      <c r="C11" s="38"/>
      <c r="D11" s="46">
        <v>1330</v>
      </c>
      <c r="E11" s="39"/>
    </row>
    <row r="12" spans="1:5" ht="24.95" customHeight="1" thickBot="1" x14ac:dyDescent="0.3">
      <c r="A12" s="44">
        <v>1345</v>
      </c>
      <c r="B12" s="39"/>
      <c r="C12" s="38"/>
      <c r="D12" s="46"/>
      <c r="E12" s="40"/>
    </row>
    <row r="13" spans="1:5" ht="24.95" customHeight="1" thickBot="1" x14ac:dyDescent="0.3">
      <c r="A13" s="44">
        <v>1400</v>
      </c>
      <c r="B13" s="39"/>
      <c r="C13" s="39"/>
      <c r="D13" s="46">
        <v>1400</v>
      </c>
      <c r="E13" s="39"/>
    </row>
    <row r="14" spans="1:5" ht="24.95" customHeight="1" thickBot="1" x14ac:dyDescent="0.3">
      <c r="A14" s="44">
        <v>1415</v>
      </c>
      <c r="B14" s="39"/>
      <c r="C14" s="40"/>
      <c r="D14" s="47"/>
      <c r="E14" s="38"/>
    </row>
    <row r="15" spans="1:5" ht="24.95" customHeight="1" thickBot="1" x14ac:dyDescent="0.3">
      <c r="A15" s="44">
        <v>1430</v>
      </c>
      <c r="B15" s="39"/>
      <c r="C15" s="38"/>
      <c r="D15" s="46">
        <v>1430</v>
      </c>
      <c r="E15" s="39"/>
    </row>
    <row r="16" spans="1:5" ht="24.95" customHeight="1" thickBot="1" x14ac:dyDescent="0.3">
      <c r="A16" s="44">
        <v>1445</v>
      </c>
      <c r="B16" s="39"/>
      <c r="C16" s="40"/>
      <c r="D16" s="47"/>
      <c r="E16" s="38"/>
    </row>
    <row r="17" spans="1:5" ht="24.95" customHeight="1" thickBot="1" x14ac:dyDescent="0.3">
      <c r="A17" s="44">
        <v>1500</v>
      </c>
      <c r="B17" s="39"/>
      <c r="C17" s="38"/>
      <c r="D17" s="46">
        <v>1500</v>
      </c>
      <c r="E17" s="39"/>
    </row>
    <row r="18" spans="1:5" ht="24.95" customHeight="1" thickBot="1" x14ac:dyDescent="0.3">
      <c r="A18" s="44">
        <v>1515</v>
      </c>
      <c r="B18" s="39"/>
      <c r="C18" s="40"/>
      <c r="D18" s="47"/>
      <c r="E18" s="38"/>
    </row>
    <row r="19" spans="1:5" ht="24.95" customHeight="1" thickBot="1" x14ac:dyDescent="0.3">
      <c r="A19" s="44">
        <v>1530</v>
      </c>
      <c r="B19" s="39"/>
      <c r="C19" s="38"/>
      <c r="D19" s="46">
        <v>1530</v>
      </c>
      <c r="E19" s="39"/>
    </row>
    <row r="20" spans="1:5" ht="24.95" customHeight="1" thickBot="1" x14ac:dyDescent="0.3">
      <c r="A20" s="44">
        <v>1545</v>
      </c>
      <c r="B20" s="39"/>
      <c r="C20" s="40"/>
      <c r="D20" s="47"/>
      <c r="E20" s="38"/>
    </row>
    <row r="21" spans="1:5" ht="24.95" customHeight="1" thickBot="1" x14ac:dyDescent="0.3">
      <c r="A21" s="44">
        <v>1600</v>
      </c>
      <c r="B21" s="39"/>
      <c r="C21" s="38"/>
      <c r="D21" s="46">
        <v>1600</v>
      </c>
      <c r="E21" s="39"/>
    </row>
    <row r="22" spans="1:5" ht="24.95" customHeight="1" thickBot="1" x14ac:dyDescent="0.3">
      <c r="A22" s="44">
        <v>1615</v>
      </c>
      <c r="B22" s="39"/>
      <c r="C22" s="40"/>
      <c r="D22" s="47"/>
      <c r="E22" s="38"/>
    </row>
    <row r="23" spans="1:5" ht="24.95" customHeight="1" thickBot="1" x14ac:dyDescent="0.3">
      <c r="A23" s="44">
        <v>1630</v>
      </c>
      <c r="B23" s="39"/>
      <c r="C23" s="38"/>
      <c r="D23" s="46">
        <v>1630</v>
      </c>
      <c r="E23" s="39"/>
    </row>
    <row r="24" spans="1:5" ht="24.95" customHeight="1" thickBot="1" x14ac:dyDescent="0.3">
      <c r="A24" s="44">
        <v>1645</v>
      </c>
      <c r="B24" s="39"/>
      <c r="C24" s="40"/>
      <c r="D24" s="47"/>
      <c r="E24" s="38"/>
    </row>
    <row r="25" spans="1:5" ht="24.95" customHeight="1" thickBot="1" x14ac:dyDescent="0.3">
      <c r="A25" s="44">
        <v>1700</v>
      </c>
      <c r="B25" s="39"/>
      <c r="C25" s="38"/>
      <c r="D25" s="46">
        <v>1700</v>
      </c>
      <c r="E25" s="39"/>
    </row>
    <row r="26" spans="1:5" ht="24.95" customHeight="1" thickBot="1" x14ac:dyDescent="0.3">
      <c r="A26" s="44">
        <v>1715</v>
      </c>
      <c r="B26" s="39"/>
      <c r="C26" s="38"/>
      <c r="D26" s="47"/>
      <c r="E26" s="38"/>
    </row>
    <row r="27" spans="1:5" ht="24.95" customHeight="1" thickBot="1" x14ac:dyDescent="0.3">
      <c r="A27" s="44">
        <v>1730</v>
      </c>
      <c r="B27" s="39"/>
      <c r="C27" s="38"/>
      <c r="D27" s="46">
        <v>1730</v>
      </c>
      <c r="E27" s="39"/>
    </row>
    <row r="28" spans="1:5" ht="24.95" customHeight="1" thickBot="1" x14ac:dyDescent="0.3">
      <c r="A28" s="44">
        <v>1745</v>
      </c>
      <c r="B28" s="39"/>
      <c r="C28" s="40"/>
      <c r="D28" s="46"/>
      <c r="E28" s="39"/>
    </row>
    <row r="29" spans="1:5" ht="24.95" customHeight="1" thickBot="1" x14ac:dyDescent="0.3">
      <c r="A29" s="44">
        <v>1800</v>
      </c>
      <c r="B29" s="39"/>
      <c r="C29" s="38"/>
      <c r="D29" s="46">
        <v>1800</v>
      </c>
      <c r="E29" s="39"/>
    </row>
    <row r="30" spans="1:5" ht="24.95" customHeight="1" thickBot="1" x14ac:dyDescent="0.3">
      <c r="A30" s="44">
        <v>1815</v>
      </c>
      <c r="B30" s="39"/>
      <c r="C30" s="39"/>
      <c r="D30" s="46"/>
      <c r="E30" s="39"/>
    </row>
    <row r="31" spans="1:5" ht="24.95" customHeight="1" thickBot="1" x14ac:dyDescent="0.3">
      <c r="A31" s="44">
        <v>1830</v>
      </c>
      <c r="B31" s="39"/>
      <c r="C31" s="39"/>
      <c r="D31" s="46">
        <v>1830</v>
      </c>
      <c r="E31" s="39"/>
    </row>
    <row r="32" spans="1:5" ht="24.95" customHeight="1" thickBot="1" x14ac:dyDescent="0.3">
      <c r="A32" s="44">
        <v>1845</v>
      </c>
      <c r="B32" s="39"/>
      <c r="C32" s="40"/>
      <c r="D32" s="46"/>
      <c r="E32" s="39"/>
    </row>
    <row r="33" spans="1:5" ht="24.95" customHeight="1" thickBot="1" x14ac:dyDescent="0.3">
      <c r="A33" s="44">
        <v>1900</v>
      </c>
      <c r="B33" s="39"/>
      <c r="C33" s="38"/>
      <c r="D33" s="46">
        <v>1900</v>
      </c>
      <c r="E33" s="39"/>
    </row>
    <row r="34" spans="1:5" ht="24.95" customHeight="1" thickBot="1" x14ac:dyDescent="0.3">
      <c r="A34" s="44">
        <v>1915</v>
      </c>
      <c r="B34" s="39"/>
      <c r="C34" s="39"/>
      <c r="D34" s="46"/>
      <c r="E34" s="39"/>
    </row>
    <row r="35" spans="1:5" ht="24.95" customHeight="1" thickBot="1" x14ac:dyDescent="0.3">
      <c r="A35" s="44">
        <v>1930</v>
      </c>
      <c r="B35" s="39"/>
      <c r="C35" s="38"/>
      <c r="D35" s="46">
        <v>1930</v>
      </c>
      <c r="E35" s="39"/>
    </row>
    <row r="36" spans="1:5" ht="24.95" customHeight="1" thickBot="1" x14ac:dyDescent="0.3">
      <c r="A36" s="44">
        <v>1945</v>
      </c>
      <c r="B36" s="39"/>
      <c r="C36" s="40"/>
      <c r="D36" s="46"/>
      <c r="E36" s="39"/>
    </row>
  </sheetData>
  <mergeCells count="3">
    <mergeCell ref="A1:E1"/>
    <mergeCell ref="A2:C2"/>
    <mergeCell ref="D2:E2"/>
  </mergeCells>
  <pageMargins left="0.7" right="0.7" top="0.75" bottom="0.75" header="0.3" footer="0.3"/>
  <pageSetup scale="75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82F91-6063-48A9-B5B4-C24CF1F31CEE}">
  <sheetPr>
    <pageSetUpPr fitToPage="1"/>
  </sheetPr>
  <dimension ref="A1:E36"/>
  <sheetViews>
    <sheetView zoomScale="90" zoomScaleNormal="90" workbookViewId="0">
      <selection activeCell="B20" sqref="B20"/>
    </sheetView>
  </sheetViews>
  <sheetFormatPr defaultRowHeight="15" x14ac:dyDescent="0.25"/>
  <cols>
    <col min="1" max="1" width="10.7109375" style="43" customWidth="1"/>
    <col min="2" max="3" width="32.7109375" customWidth="1"/>
    <col min="4" max="4" width="10.7109375" style="43" customWidth="1"/>
    <col min="5" max="5" width="32.7109375" customWidth="1"/>
  </cols>
  <sheetData>
    <row r="1" spans="1:5" ht="24.95" customHeight="1" thickBot="1" x14ac:dyDescent="0.3">
      <c r="A1" s="89" t="s">
        <v>73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2" t="s">
        <v>71</v>
      </c>
      <c r="E2" s="94"/>
    </row>
    <row r="3" spans="1:5" ht="24.95" customHeight="1" thickBot="1" x14ac:dyDescent="0.3">
      <c r="A3" s="42">
        <v>2000</v>
      </c>
      <c r="B3" s="39"/>
      <c r="C3" s="38"/>
      <c r="D3" s="48">
        <v>2000</v>
      </c>
      <c r="E3" s="39"/>
    </row>
    <row r="4" spans="1:5" ht="24.95" customHeight="1" thickBot="1" x14ac:dyDescent="0.3">
      <c r="A4" s="42">
        <v>2015</v>
      </c>
      <c r="B4" s="39"/>
      <c r="C4" s="40"/>
      <c r="D4" s="49"/>
      <c r="E4" s="38"/>
    </row>
    <row r="5" spans="1:5" ht="24.95" customHeight="1" thickBot="1" x14ac:dyDescent="0.3">
      <c r="A5" s="42">
        <v>2030</v>
      </c>
      <c r="B5" s="39"/>
      <c r="C5" s="38"/>
      <c r="D5" s="48">
        <v>2030</v>
      </c>
      <c r="E5" s="39"/>
    </row>
    <row r="6" spans="1:5" ht="24.95" customHeight="1" thickBot="1" x14ac:dyDescent="0.3">
      <c r="A6" s="42">
        <v>2045</v>
      </c>
      <c r="B6" s="40"/>
      <c r="C6" s="40"/>
      <c r="D6" s="49"/>
      <c r="E6" s="38"/>
    </row>
    <row r="7" spans="1:5" ht="24.95" customHeight="1" thickBot="1" x14ac:dyDescent="0.3">
      <c r="A7" s="42">
        <v>2100</v>
      </c>
      <c r="B7" s="38"/>
      <c r="C7" s="38"/>
      <c r="D7" s="48">
        <v>2100</v>
      </c>
      <c r="E7" s="39"/>
    </row>
    <row r="8" spans="1:5" ht="24.95" customHeight="1" thickBot="1" x14ac:dyDescent="0.3">
      <c r="A8" s="42">
        <v>2115</v>
      </c>
      <c r="B8" s="39"/>
      <c r="C8" s="38"/>
      <c r="D8" s="49"/>
      <c r="E8" s="38"/>
    </row>
    <row r="9" spans="1:5" ht="24.95" customHeight="1" thickBot="1" x14ac:dyDescent="0.3">
      <c r="A9" s="42">
        <v>2130</v>
      </c>
      <c r="B9" s="39"/>
      <c r="C9" s="39"/>
      <c r="D9" s="48">
        <v>2130</v>
      </c>
      <c r="E9" s="40"/>
    </row>
    <row r="10" spans="1:5" ht="24.95" customHeight="1" thickBot="1" x14ac:dyDescent="0.3">
      <c r="A10" s="42">
        <v>2145</v>
      </c>
      <c r="B10" s="39"/>
      <c r="C10" s="38"/>
      <c r="D10" s="48"/>
      <c r="E10" s="40"/>
    </row>
    <row r="11" spans="1:5" ht="24.95" customHeight="1" thickBot="1" x14ac:dyDescent="0.3">
      <c r="A11" s="42">
        <v>2200</v>
      </c>
      <c r="B11" s="39"/>
      <c r="C11" s="39"/>
      <c r="D11" s="48">
        <v>2200</v>
      </c>
      <c r="E11" s="40"/>
    </row>
    <row r="12" spans="1:5" ht="24.95" customHeight="1" thickBot="1" x14ac:dyDescent="0.3">
      <c r="A12" s="42">
        <v>2215</v>
      </c>
      <c r="B12" s="39"/>
      <c r="C12" s="38"/>
      <c r="D12" s="48"/>
      <c r="E12" s="40"/>
    </row>
    <row r="13" spans="1:5" ht="24.95" customHeight="1" thickBot="1" x14ac:dyDescent="0.3">
      <c r="A13" s="42">
        <v>2230</v>
      </c>
      <c r="B13" s="39"/>
      <c r="C13" s="39"/>
      <c r="D13" s="48">
        <v>2230</v>
      </c>
      <c r="E13" s="40"/>
    </row>
    <row r="14" spans="1:5" ht="24.95" customHeight="1" thickBot="1" x14ac:dyDescent="0.3">
      <c r="A14" s="42">
        <v>2245</v>
      </c>
      <c r="B14" s="39"/>
      <c r="C14" s="38"/>
      <c r="D14" s="48"/>
      <c r="E14" s="40"/>
    </row>
    <row r="15" spans="1:5" ht="24.95" customHeight="1" thickBot="1" x14ac:dyDescent="0.3">
      <c r="A15" s="42">
        <v>2300</v>
      </c>
      <c r="B15" s="39"/>
      <c r="C15" s="39"/>
      <c r="D15" s="48">
        <v>2300</v>
      </c>
      <c r="E15" s="40"/>
    </row>
    <row r="16" spans="1:5" ht="24.95" customHeight="1" thickBot="1" x14ac:dyDescent="0.3">
      <c r="A16" s="42">
        <v>2315</v>
      </c>
      <c r="B16" s="39"/>
      <c r="C16" s="38"/>
      <c r="D16" s="48"/>
      <c r="E16" s="40"/>
    </row>
    <row r="17" spans="1:5" ht="24.95" customHeight="1" thickBot="1" x14ac:dyDescent="0.3">
      <c r="A17" s="42">
        <v>2330</v>
      </c>
      <c r="B17" s="39"/>
      <c r="C17" s="39"/>
      <c r="D17" s="48">
        <v>2330</v>
      </c>
      <c r="E17" s="40"/>
    </row>
    <row r="18" spans="1:5" ht="24.95" customHeight="1" thickBot="1" x14ac:dyDescent="0.3">
      <c r="A18" s="42">
        <v>2345</v>
      </c>
      <c r="B18" s="39"/>
      <c r="C18" s="38"/>
      <c r="D18" s="48"/>
      <c r="E18" s="40"/>
    </row>
    <row r="19" spans="1:5" ht="24.95" customHeight="1" thickBot="1" x14ac:dyDescent="0.3">
      <c r="A19" s="42" t="s">
        <v>115</v>
      </c>
      <c r="B19" s="39"/>
      <c r="C19" s="39"/>
      <c r="D19" s="48" t="s">
        <v>115</v>
      </c>
      <c r="E19" s="40"/>
    </row>
    <row r="20" spans="1:5" ht="24.95" customHeight="1" thickBot="1" x14ac:dyDescent="0.3">
      <c r="A20" s="42" t="s">
        <v>121</v>
      </c>
      <c r="B20" s="39"/>
      <c r="C20" s="39"/>
      <c r="D20" s="49"/>
      <c r="E20" s="38"/>
    </row>
    <row r="21" spans="1:5" ht="24.95" customHeight="1" thickBot="1" x14ac:dyDescent="0.3">
      <c r="A21" s="42" t="s">
        <v>116</v>
      </c>
      <c r="B21" s="39"/>
      <c r="C21" s="38"/>
      <c r="D21" s="48" t="s">
        <v>116</v>
      </c>
      <c r="E21" s="40"/>
    </row>
    <row r="22" spans="1:5" ht="24.95" customHeight="1" thickBot="1" x14ac:dyDescent="0.3">
      <c r="A22" s="42" t="s">
        <v>122</v>
      </c>
      <c r="B22" s="39"/>
      <c r="C22" s="40"/>
      <c r="D22" s="49"/>
      <c r="E22" s="39"/>
    </row>
    <row r="23" spans="1:5" ht="24.95" customHeight="1" thickBot="1" x14ac:dyDescent="0.3">
      <c r="A23" s="42" t="s">
        <v>117</v>
      </c>
      <c r="B23" s="39"/>
      <c r="C23" s="38"/>
      <c r="D23" s="48" t="s">
        <v>117</v>
      </c>
      <c r="E23" s="40"/>
    </row>
    <row r="24" spans="1:5" ht="24.95" customHeight="1" thickBot="1" x14ac:dyDescent="0.3">
      <c r="A24" s="42" t="s">
        <v>123</v>
      </c>
      <c r="B24" s="39"/>
      <c r="C24" s="40"/>
      <c r="D24" s="71"/>
      <c r="E24" s="70"/>
    </row>
    <row r="25" spans="1:5" ht="24.95" customHeight="1" thickBot="1" x14ac:dyDescent="0.3">
      <c r="A25" s="42" t="s">
        <v>118</v>
      </c>
      <c r="B25" s="39"/>
      <c r="C25" s="39"/>
      <c r="D25" s="48" t="s">
        <v>118</v>
      </c>
      <c r="E25" s="70"/>
    </row>
    <row r="26" spans="1:5" ht="24.95" customHeight="1" thickBot="1" x14ac:dyDescent="0.3">
      <c r="A26" s="42" t="s">
        <v>124</v>
      </c>
      <c r="B26" s="39"/>
      <c r="C26" s="40"/>
      <c r="D26" s="71"/>
      <c r="E26" s="70"/>
    </row>
    <row r="27" spans="1:5" ht="24.95" customHeight="1" thickBot="1" x14ac:dyDescent="0.3">
      <c r="A27" s="42" t="s">
        <v>119</v>
      </c>
      <c r="B27" s="39"/>
      <c r="C27" s="38"/>
      <c r="D27" s="48" t="s">
        <v>119</v>
      </c>
      <c r="E27" s="70"/>
    </row>
    <row r="28" spans="1:5" ht="24.95" customHeight="1" thickBot="1" x14ac:dyDescent="0.3">
      <c r="A28" s="42" t="s">
        <v>125</v>
      </c>
      <c r="B28" s="39"/>
      <c r="C28" s="39"/>
      <c r="D28" s="71"/>
      <c r="E28" s="70"/>
    </row>
    <row r="29" spans="1:5" ht="24.95" customHeight="1" thickBot="1" x14ac:dyDescent="0.3">
      <c r="A29" s="42" t="s">
        <v>120</v>
      </c>
      <c r="B29" s="39"/>
      <c r="C29" s="38"/>
      <c r="D29" s="48" t="s">
        <v>120</v>
      </c>
      <c r="E29" s="39"/>
    </row>
    <row r="30" spans="1:5" ht="24.95" customHeight="1" thickBot="1" x14ac:dyDescent="0.3">
      <c r="A30" s="42" t="s">
        <v>126</v>
      </c>
      <c r="B30" s="39"/>
      <c r="C30" s="70"/>
      <c r="D30" s="71"/>
      <c r="E30" s="39"/>
    </row>
    <row r="31" spans="1:5" x14ac:dyDescent="0.25">
      <c r="A31" s="99" t="s">
        <v>74</v>
      </c>
      <c r="B31" s="99"/>
      <c r="C31" s="99"/>
      <c r="D31" s="99"/>
      <c r="E31" s="99"/>
    </row>
    <row r="32" spans="1:5" x14ac:dyDescent="0.25">
      <c r="A32" s="98" t="s">
        <v>75</v>
      </c>
      <c r="B32" s="98"/>
      <c r="C32" s="98"/>
      <c r="D32" s="98"/>
      <c r="E32" s="98"/>
    </row>
    <row r="33" spans="1:5" x14ac:dyDescent="0.25">
      <c r="A33" s="98" t="s">
        <v>76</v>
      </c>
      <c r="B33" s="98"/>
      <c r="C33" s="98"/>
      <c r="D33" s="98"/>
      <c r="E33" s="98"/>
    </row>
    <row r="34" spans="1:5" ht="30" customHeight="1" x14ac:dyDescent="0.25">
      <c r="A34" s="97" t="s">
        <v>77</v>
      </c>
      <c r="B34" s="97"/>
      <c r="C34" s="97"/>
      <c r="D34" s="97"/>
      <c r="E34" s="97"/>
    </row>
    <row r="35" spans="1:5" x14ac:dyDescent="0.25">
      <c r="A35" s="98" t="s">
        <v>78</v>
      </c>
      <c r="B35" s="98"/>
      <c r="C35" s="98"/>
      <c r="D35" s="98"/>
      <c r="E35" s="98"/>
    </row>
    <row r="36" spans="1:5" x14ac:dyDescent="0.25">
      <c r="A36" s="98" t="s">
        <v>79</v>
      </c>
      <c r="B36" s="98"/>
      <c r="C36" s="98"/>
      <c r="D36" s="98"/>
      <c r="E36" s="98"/>
    </row>
  </sheetData>
  <mergeCells count="9">
    <mergeCell ref="A34:E34"/>
    <mergeCell ref="A35:E35"/>
    <mergeCell ref="A36:E36"/>
    <mergeCell ref="A1:E1"/>
    <mergeCell ref="A2:C2"/>
    <mergeCell ref="D2:E2"/>
    <mergeCell ref="A31:E31"/>
    <mergeCell ref="A32:E32"/>
    <mergeCell ref="A33:E33"/>
  </mergeCells>
  <pageMargins left="0.7" right="0.7" top="0.75" bottom="0.75" header="0.3" footer="0.3"/>
  <pageSetup scale="75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I999"/>
  <sheetViews>
    <sheetView showWhiteSpace="0" view="pageLayout" zoomScaleNormal="100" workbookViewId="0"/>
  </sheetViews>
  <sheetFormatPr defaultColWidth="14.42578125" defaultRowHeight="15" customHeight="1" x14ac:dyDescent="0.2"/>
  <cols>
    <col min="1" max="2" width="12.85546875" style="57" customWidth="1"/>
    <col min="3" max="3" width="13.28515625" style="57" customWidth="1"/>
    <col min="4" max="6" width="12.85546875" style="57" customWidth="1"/>
    <col min="7" max="7" width="11.85546875" style="57" bestFit="1" customWidth="1"/>
    <col min="8" max="8" width="12.85546875" style="57" customWidth="1"/>
    <col min="9" max="10" width="8.7109375" style="57" customWidth="1"/>
    <col min="11" max="16384" width="14.42578125" style="57"/>
  </cols>
  <sheetData>
    <row r="1" spans="1:9" x14ac:dyDescent="0.2">
      <c r="A1" s="1" t="s">
        <v>47</v>
      </c>
      <c r="B1" s="1" t="s">
        <v>63</v>
      </c>
      <c r="C1" s="1" t="s">
        <v>2</v>
      </c>
      <c r="D1" s="1" t="s">
        <v>3</v>
      </c>
      <c r="E1" s="1" t="s">
        <v>56</v>
      </c>
      <c r="F1" s="1" t="s">
        <v>4</v>
      </c>
      <c r="G1" s="11" t="s">
        <v>5</v>
      </c>
      <c r="H1" s="12" t="s">
        <v>6</v>
      </c>
    </row>
    <row r="2" spans="1:9" ht="14.25" x14ac:dyDescent="0.2">
      <c r="A2" s="10" t="s">
        <v>7</v>
      </c>
      <c r="B2" s="82" t="str">
        <f>IF('2026'!B85&lt;&gt;"", '2026'!B85, "")</f>
        <v/>
      </c>
      <c r="C2" s="82" t="str">
        <f>IF('2026'!C85&lt;&gt;"", '2026'!C85, "")</f>
        <v/>
      </c>
      <c r="D2" s="82" t="str">
        <f>IF('2026'!D85&lt;&gt;"", '2026'!D85, "")</f>
        <v/>
      </c>
      <c r="E2" s="82" t="str">
        <f>IF('2026'!E85&lt;&gt;"", '2026'!E85, "")</f>
        <v/>
      </c>
      <c r="F2" s="82" t="str">
        <f>IF('2026'!F85&lt;&gt;"", '2026'!F85, "")</f>
        <v/>
      </c>
      <c r="G2" s="83" t="str">
        <f>IF('2026'!G85&lt;&gt;"", '2026'!G85, "")</f>
        <v/>
      </c>
      <c r="H2" s="82" t="str">
        <f>IF('2026'!H85&lt;&gt;"", '2026'!H85, "")</f>
        <v/>
      </c>
    </row>
    <row r="3" spans="1:9" ht="14.25" x14ac:dyDescent="0.2">
      <c r="A3" s="10" t="s">
        <v>8</v>
      </c>
      <c r="B3" s="82" t="str">
        <f>IF('2026'!B86&lt;&gt;"", '2026'!B86, "")</f>
        <v/>
      </c>
      <c r="C3" s="82" t="str">
        <f>IF('2026'!C86&lt;&gt;"", '2026'!C86, "")</f>
        <v/>
      </c>
      <c r="D3" s="82" t="str">
        <f>IF('2026'!D86&lt;&gt;"", '2026'!D86, "")</f>
        <v/>
      </c>
      <c r="E3" s="82" t="str">
        <f>IF('2026'!E86&lt;&gt;"", '2026'!E86, "")</f>
        <v/>
      </c>
      <c r="F3" s="82" t="str">
        <f>IF('2026'!F86&lt;&gt;"", '2026'!F86, "")</f>
        <v/>
      </c>
      <c r="G3" s="83" t="str">
        <f>IF('2026'!G86&lt;&gt;"", '2026'!G86, "")</f>
        <v/>
      </c>
      <c r="H3" s="82" t="str">
        <f>IF('2026'!H86&lt;&gt;"", '2026'!H86, "")</f>
        <v/>
      </c>
    </row>
    <row r="4" spans="1:9" ht="14.25" x14ac:dyDescent="0.2">
      <c r="A4" s="10" t="s">
        <v>9</v>
      </c>
      <c r="B4" s="82" t="str">
        <f>IF('2026'!B87&lt;&gt;"", '2026'!B87, "")</f>
        <v>KELL</v>
      </c>
      <c r="C4" s="82" t="str">
        <f>IF('2026'!C87&lt;&gt;"", '2026'!C87, "")</f>
        <v/>
      </c>
      <c r="D4" s="82" t="str">
        <f>IF('2026'!D87&lt;&gt;"", '2026'!D87, "")</f>
        <v/>
      </c>
      <c r="E4" s="82" t="str">
        <f>IF('2026'!E87&lt;&gt;"", '2026'!E87, "")</f>
        <v/>
      </c>
      <c r="F4" s="82" t="str">
        <f>IF('2026'!F87&lt;&gt;"", '2026'!F87, "")</f>
        <v/>
      </c>
      <c r="G4" s="83" t="str">
        <f>IF('2026'!G87&lt;&gt;"", '2026'!G87, "")</f>
        <v/>
      </c>
      <c r="H4" s="82" t="str">
        <f>IF('2026'!H87&lt;&gt;"", '2026'!H87, "")</f>
        <v>DUKE</v>
      </c>
    </row>
    <row r="5" spans="1:9" ht="14.25" x14ac:dyDescent="0.2">
      <c r="A5" s="10" t="s">
        <v>10</v>
      </c>
      <c r="B5" s="82" t="str">
        <f>IF('2026'!B88&lt;&gt;"", '2026'!B88, "")</f>
        <v/>
      </c>
      <c r="C5" s="82" t="str">
        <f>IF('2026'!C88&lt;&gt;"", '2026'!C88, "")</f>
        <v/>
      </c>
      <c r="D5" s="82" t="str">
        <f>IF('2026'!D88&lt;&gt;"", '2026'!D88, "")</f>
        <v/>
      </c>
      <c r="E5" s="82" t="str">
        <f>IF('2026'!E88&lt;&gt;"", '2026'!E88, "")</f>
        <v/>
      </c>
      <c r="F5" s="82" t="str">
        <f>IF('2026'!F88&lt;&gt;"", '2026'!F88, "")</f>
        <v/>
      </c>
      <c r="G5" s="83" t="str">
        <f>IF('2026'!G88&lt;&gt;"", '2026'!G88, "")</f>
        <v/>
      </c>
      <c r="H5" s="82" t="str">
        <f>IF('2026'!H88&lt;&gt;"", '2026'!H88, "")</f>
        <v>KELL</v>
      </c>
    </row>
    <row r="6" spans="1:9" ht="14.25" x14ac:dyDescent="0.2">
      <c r="A6" s="10" t="s">
        <v>11</v>
      </c>
      <c r="B6" s="82" t="str">
        <f>IF('2026'!B89&lt;&gt;"", '2026'!B89, "")</f>
        <v>HACK/RUEL</v>
      </c>
      <c r="C6" s="82" t="str">
        <f>IF('2026'!C89&lt;&gt;"", '2026'!C89, "")</f>
        <v/>
      </c>
      <c r="D6" s="82" t="str">
        <f>IF('2026'!D89&lt;&gt;"", '2026'!D89, "")</f>
        <v/>
      </c>
      <c r="E6" s="82" t="str">
        <f>IF('2026'!E89&lt;&gt;"", '2026'!E89, "")</f>
        <v/>
      </c>
      <c r="F6" s="82" t="str">
        <f>IF('2026'!F89&lt;&gt;"", '2026'!F89, "")</f>
        <v>DUKE</v>
      </c>
      <c r="G6" s="83" t="str">
        <f>IF('2026'!G89&lt;&gt;"", '2026'!G89, "")</f>
        <v/>
      </c>
      <c r="H6" s="82" t="str">
        <f>IF('2026'!H89&lt;&gt;"", '2026'!H89, "")</f>
        <v/>
      </c>
    </row>
    <row r="7" spans="1:9" ht="14.25" x14ac:dyDescent="0.2">
      <c r="A7" s="10" t="s">
        <v>12</v>
      </c>
      <c r="B7" s="82" t="str">
        <f>IF('2026'!B90&lt;&gt;"", '2026'!B90, "")</f>
        <v/>
      </c>
      <c r="C7" s="82" t="str">
        <f>IF('2026'!C90&lt;&gt;"", '2026'!C90, "")</f>
        <v/>
      </c>
      <c r="D7" s="82" t="str">
        <f>IF('2026'!D90&lt;&gt;"", '2026'!D90, "")</f>
        <v/>
      </c>
      <c r="E7" s="82" t="str">
        <f>IF('2026'!E90&lt;&gt;"", '2026'!E90, "")</f>
        <v/>
      </c>
      <c r="F7" s="82" t="str">
        <f>IF('2026'!F90&lt;&gt;"", '2026'!F90, "")</f>
        <v/>
      </c>
      <c r="G7" s="83" t="str">
        <f>IF('2026'!G90&lt;&gt;"", '2026'!G90, "")</f>
        <v/>
      </c>
      <c r="H7" s="82" t="str">
        <f>IF('2026'!H90&lt;&gt;"", '2026'!H90, "")</f>
        <v>RUEL</v>
      </c>
    </row>
    <row r="8" spans="1:9" ht="14.25" x14ac:dyDescent="0.2">
      <c r="A8" s="10" t="s">
        <v>13</v>
      </c>
      <c r="B8" s="82" t="str">
        <f>IF('2026'!B91&lt;&gt;"", '2026'!B91, "")</f>
        <v/>
      </c>
      <c r="C8" s="82" t="str">
        <f>IF('2026'!C91&lt;&gt;"", '2026'!C91, "")</f>
        <v/>
      </c>
      <c r="D8" s="82" t="str">
        <f>IF('2026'!D91&lt;&gt;"", '2026'!D91, "")</f>
        <v/>
      </c>
      <c r="E8" s="82" t="str">
        <f>IF('2026'!E91&lt;&gt;"", '2026'!E91, "")</f>
        <v/>
      </c>
      <c r="F8" s="82" t="str">
        <f>IF('2026'!F91&lt;&gt;"", '2026'!F91, "")</f>
        <v/>
      </c>
      <c r="G8" s="82" t="str">
        <f>IF('2026'!G91&lt;&gt;"", '2026'!G91, "")</f>
        <v/>
      </c>
      <c r="H8" s="82" t="str">
        <f>IF('2026'!H91&lt;&gt;"", '2026'!H91, "")</f>
        <v/>
      </c>
    </row>
    <row r="9" spans="1:9" ht="14.25" x14ac:dyDescent="0.2">
      <c r="A9" s="10" t="s">
        <v>14</v>
      </c>
      <c r="B9" s="82" t="str">
        <f>IF('2026'!B92&lt;&gt;"", '2026'!B92, "")</f>
        <v/>
      </c>
      <c r="C9" s="82" t="str">
        <f>IF('2026'!C92&lt;&gt;"", '2026'!C92, "")</f>
        <v>AWIL</v>
      </c>
      <c r="D9" s="82" t="str">
        <f>IF('2026'!D92&lt;&gt;"", '2026'!D92, "")</f>
        <v>VASQ/MERC</v>
      </c>
      <c r="E9" s="82" t="str">
        <f>IF('2026'!E92&lt;&gt;"", '2026'!E92, "")</f>
        <v/>
      </c>
      <c r="F9" s="82" t="str">
        <f>IF('2026'!F92&lt;&gt;"", '2026'!F92, "")</f>
        <v/>
      </c>
      <c r="G9" s="82" t="str">
        <f>IF('2026'!G92&lt;&gt;"", '2026'!G92, "")</f>
        <v/>
      </c>
      <c r="H9" s="82" t="str">
        <f>IF('2026'!H92&lt;&gt;"", '2026'!H92, "")</f>
        <v/>
      </c>
    </row>
    <row r="10" spans="1:9" ht="14.25" x14ac:dyDescent="0.2">
      <c r="A10" s="10" t="s">
        <v>15</v>
      </c>
      <c r="B10" s="82" t="str">
        <f>IF('2026'!B93&lt;&gt;"", '2026'!B93, "")</f>
        <v/>
      </c>
      <c r="C10" s="82" t="str">
        <f>IF('2026'!C93&lt;&gt;"", '2026'!C93, "")</f>
        <v>VASQ/MERC</v>
      </c>
      <c r="D10" s="82" t="str">
        <f>IF('2026'!D93&lt;&gt;"", '2026'!D93, "")</f>
        <v/>
      </c>
      <c r="E10" s="82" t="str">
        <f>IF('2026'!E93&lt;&gt;"", '2026'!E93, "")</f>
        <v/>
      </c>
      <c r="F10" s="82" t="str">
        <f>IF('2026'!F93&lt;&gt;"", '2026'!F93, "")</f>
        <v/>
      </c>
      <c r="G10" s="82" t="str">
        <f>IF('2026'!G93&lt;&gt;"", '2026'!G93, "")</f>
        <v/>
      </c>
      <c r="H10" s="82" t="str">
        <f>IF('2026'!H93&lt;&gt;"", '2026'!H93, "")</f>
        <v/>
      </c>
    </row>
    <row r="11" spans="1:9" ht="14.25" x14ac:dyDescent="0.2">
      <c r="A11" s="10" t="s">
        <v>16</v>
      </c>
      <c r="B11" s="82" t="str">
        <f>IF('2026'!B94&lt;&gt;"", '2026'!B94, "")</f>
        <v/>
      </c>
      <c r="C11" s="82" t="str">
        <f>IF('2026'!C94&lt;&gt;"", '2026'!C94, "")</f>
        <v>JLEA/WATS</v>
      </c>
      <c r="D11" s="82" t="str">
        <f>IF('2026'!D94&lt;&gt;"", '2026'!D94, "")</f>
        <v/>
      </c>
      <c r="E11" s="82" t="str">
        <f>IF('2026'!E94&lt;&gt;"", '2026'!E94, "")</f>
        <v/>
      </c>
      <c r="F11" s="82" t="str">
        <f>IF('2026'!F94&lt;&gt;"", '2026'!F94, "")</f>
        <v/>
      </c>
      <c r="G11" s="82" t="str">
        <f>IF('2026'!G94&lt;&gt;"", '2026'!G94, "")</f>
        <v>SCOT/OCHO</v>
      </c>
      <c r="H11" s="82" t="str">
        <f>IF('2026'!H94&lt;&gt;"", '2026'!H94, "")</f>
        <v/>
      </c>
    </row>
    <row r="12" spans="1:9" ht="14.25" x14ac:dyDescent="0.2">
      <c r="A12" s="10" t="s">
        <v>17</v>
      </c>
      <c r="B12" s="82" t="str">
        <f>IF('2026'!B95&lt;&gt;"", '2026'!B95, "")</f>
        <v/>
      </c>
      <c r="C12" s="82" t="str">
        <f>IF('2026'!C95&lt;&gt;"", '2026'!C95, "")</f>
        <v>SCOT/OCHO</v>
      </c>
      <c r="D12" s="82" t="str">
        <f>IF('2026'!D95&lt;&gt;"", '2026'!D95, "")</f>
        <v/>
      </c>
      <c r="E12" s="82" t="str">
        <f>IF('2026'!E95&lt;&gt;"", '2026'!E95, "")</f>
        <v/>
      </c>
      <c r="F12" s="82" t="str">
        <f>IF('2026'!F95&lt;&gt;"", '2026'!F95, "")</f>
        <v/>
      </c>
      <c r="G12" s="82" t="str">
        <f>IF('2026'!G95&lt;&gt;"", '2026'!G95, "")</f>
        <v>VASQ/MERC</v>
      </c>
      <c r="H12" s="82" t="str">
        <f>IF('2026'!H95&lt;&gt;"", '2026'!H95, "")</f>
        <v/>
      </c>
    </row>
    <row r="13" spans="1:9" ht="14.25" x14ac:dyDescent="0.2">
      <c r="A13" s="10" t="s">
        <v>18</v>
      </c>
      <c r="B13" s="82" t="str">
        <f>IF('2026'!B96&lt;&gt;"", '2026'!B96, "")</f>
        <v/>
      </c>
      <c r="C13" s="82" t="str">
        <f>IF('2026'!C96&lt;&gt;"", '2026'!C96, "")</f>
        <v>SCOT/OCHO</v>
      </c>
      <c r="D13" s="82" t="str">
        <f>IF('2026'!D96&lt;&gt;"", '2026'!D96, "")</f>
        <v>JLEA/WATS</v>
      </c>
      <c r="E13" s="82" t="str">
        <f>IF('2026'!E96&lt;&gt;"", '2026'!E96, "")</f>
        <v/>
      </c>
      <c r="F13" s="82" t="str">
        <f>IF('2026'!F96&lt;&gt;"", '2026'!F96, "")</f>
        <v/>
      </c>
      <c r="G13" s="82" t="str">
        <f>IF('2026'!G96&lt;&gt;"", '2026'!G96, "")</f>
        <v>VASQ/MERC</v>
      </c>
      <c r="H13" s="82" t="str">
        <f>IF('2026'!H96&lt;&gt;"", '2026'!H96, "")</f>
        <v/>
      </c>
    </row>
    <row r="14" spans="1:9" ht="13.5" customHeight="1" x14ac:dyDescent="0.2">
      <c r="A14" s="52" t="s">
        <v>20</v>
      </c>
      <c r="B14" s="52" t="s">
        <v>21</v>
      </c>
      <c r="C14" s="52" t="s">
        <v>22</v>
      </c>
      <c r="D14" s="53" t="s">
        <v>19</v>
      </c>
      <c r="E14" s="52" t="s">
        <v>24</v>
      </c>
      <c r="F14" s="61"/>
      <c r="G14" s="61"/>
      <c r="H14" s="61"/>
    </row>
    <row r="15" spans="1:9" ht="13.5" customHeight="1" x14ac:dyDescent="0.2">
      <c r="A15" s="55" t="str" cm="1">
        <f t="array" ref="A15">IFERROR(INDEX(A_SHIFT_ESDS,1),"")</f>
        <v>Lydia Valdez</v>
      </c>
      <c r="B15" s="54" t="str" cm="1">
        <f t="array" ref="B15">IFERROR(INDEX(B_SHIFT_ESDS,1),"")</f>
        <v>Tania Keller</v>
      </c>
      <c r="C15" s="54" t="str" cm="1">
        <f t="array" ref="C15">IFERROR(INDEX(C_SHIFT_ESDS,1),"")</f>
        <v>Allison Carter</v>
      </c>
      <c r="D15" s="54" t="str" cm="1">
        <f t="array" ref="D15">IFERROR(INDEX(E_SHIFT_ESDS,1),"")</f>
        <v>Jessica Leatherwood</v>
      </c>
      <c r="E15" s="54" t="str" cm="1">
        <f t="array" ref="E15">IFERROR(INDEX(F_SHIFT_ESDS,1),"")</f>
        <v>Susan Miller</v>
      </c>
      <c r="F15" s="61"/>
      <c r="G15" s="62"/>
      <c r="I15" s="63"/>
    </row>
    <row r="16" spans="1:9" ht="13.5" customHeight="1" x14ac:dyDescent="0.2">
      <c r="A16" s="55" t="str" cm="1">
        <f t="array" ref="A16">IFERROR(INDEX(A_SHIFT_ESDS,2),"")</f>
        <v>Cheri Smith</v>
      </c>
      <c r="B16" s="54" t="str" cm="1">
        <f t="array" ref="B16">IFERROR(INDEX(B_SHIFT_ESDS,2),"")</f>
        <v>Suzette Schlundt</v>
      </c>
      <c r="C16" s="54" t="str" cm="1">
        <f t="array" ref="C16">IFERROR(INDEX(C_SHIFT_ESDS,2),"")</f>
        <v>Ami Muro</v>
      </c>
      <c r="D16" s="54" t="str" cm="1">
        <f t="array" ref="D16">IFERROR(INDEX(E_SHIFT_ESDS,2),"")</f>
        <v>Sarah Ringer</v>
      </c>
      <c r="E16" s="54" t="str" cm="1">
        <f t="array" ref="E16">IFERROR(INDEX(F_SHIFT_ESDS,2),"")</f>
        <v xml:space="preserve">Tami Worden     </v>
      </c>
      <c r="G16" s="13"/>
    </row>
    <row r="17" spans="1:8" ht="13.5" customHeight="1" x14ac:dyDescent="0.2">
      <c r="A17" s="55" t="str" cm="1">
        <f t="array" ref="A17">IFERROR(INDEX(A_SHIFT_ESDS,3),"")</f>
        <v>Patty O’Grady</v>
      </c>
      <c r="B17" s="54" t="str" cm="1">
        <f t="array" ref="B17">IFERROR(INDEX(B_SHIFT_ESDS,3),"")</f>
        <v>Brenda Morgantini</v>
      </c>
      <c r="C17" s="54" t="str" cm="1">
        <f t="array" ref="C17">IFERROR(INDEX(C_SHIFT_ESDS,3),"")</f>
        <v>Mathew Hackney</v>
      </c>
      <c r="D17" s="54" t="str" cm="1">
        <f t="array" ref="D17">IFERROR(INDEX(E_SHIFT_ESDS,3),"")</f>
        <v>Nozomi Vasquez</v>
      </c>
      <c r="E17" s="54" t="str" cm="1">
        <f t="array" ref="E17">IFERROR(INDEX(F_SHIFT_ESDS,3),"")</f>
        <v>Nyia Vang</v>
      </c>
      <c r="G17" s="13"/>
    </row>
    <row r="18" spans="1:8" ht="13.5" customHeight="1" x14ac:dyDescent="0.2">
      <c r="A18" s="55" t="str" cm="1">
        <f t="array" ref="A18">IFERROR(INDEX(A_SHIFT_ESDS,4),"")</f>
        <v>Matt Sonderegger</v>
      </c>
      <c r="B18" s="54" t="str" cm="1">
        <f t="array" ref="B18">IFERROR(INDEX(B_SHIFT_ESDS,4),"")</f>
        <v>Zer Yang</v>
      </c>
      <c r="C18" s="54" t="str" cm="1">
        <f t="array" ref="C18">IFERROR(INDEX(C_SHIFT_ESDS,4),"")</f>
        <v>Sofia Ruelas</v>
      </c>
      <c r="D18" s="54" t="str" cm="1">
        <f t="array" ref="D18">IFERROR(INDEX(E_SHIFT_ESDS,4),"")</f>
        <v>Kelly Wiens</v>
      </c>
      <c r="E18" s="54" t="str" cm="1">
        <f t="array" ref="E18">IFERROR(INDEX(F_SHIFT_ESDS,4),"")</f>
        <v>Elexis Scott</v>
      </c>
      <c r="G18" s="86" t="s">
        <v>151</v>
      </c>
      <c r="H18" s="86"/>
    </row>
    <row r="19" spans="1:8" ht="13.5" customHeight="1" x14ac:dyDescent="0.2">
      <c r="A19" s="55" t="str" cm="1">
        <f t="array" ref="A19">IFERROR(INDEX(A_SHIFT_ESDS,5),"")</f>
        <v>Lorraine Flenory</v>
      </c>
      <c r="B19" s="54" t="str" cm="1">
        <f t="array" ref="B19">IFERROR(INDEX(B_SHIFT_ESDS,5),"")</f>
        <v>Rina Rosales</v>
      </c>
      <c r="C19" s="54" cm="1">
        <f t="array" ref="C19">IFERROR(INDEX(C_SHIFT_ESDS,5),"")</f>
        <v>0</v>
      </c>
      <c r="D19" s="54" t="str" cm="1">
        <f t="array" ref="D19">IFERROR(INDEX(E_SHIFT_ESDS,5),"")</f>
        <v>Melissa Joint</v>
      </c>
      <c r="E19" s="54" t="str" cm="1">
        <f t="array" ref="E19">IFERROR(INDEX(F_SHIFT_ESDS,5),"")</f>
        <v>Lauren Lilly</v>
      </c>
      <c r="F19" s="74">
        <v>730</v>
      </c>
      <c r="G19" s="56"/>
      <c r="H19" s="23"/>
    </row>
    <row r="20" spans="1:8" ht="13.5" customHeight="1" x14ac:dyDescent="0.2">
      <c r="A20" s="55" t="str" cm="1">
        <f t="array" ref="A20">IFERROR(INDEX(A_SHIFT_ESDS,6),"")</f>
        <v>Jodi Garland</v>
      </c>
      <c r="B20" s="54" t="str" cm="1">
        <f t="array" ref="B20">IFERROR(INDEX(B_SHIFT_ESDS,6),"")</f>
        <v>Norma Garvey</v>
      </c>
      <c r="C20" s="54" cm="1">
        <f t="array" ref="C20">IFERROR(INDEX(C_SHIFT_ESDS,6),"")</f>
        <v>0</v>
      </c>
      <c r="D20" s="54" t="str" cm="1">
        <f t="array" ref="D20">IFERROR(INDEX(E_SHIFT_ESDS,6),"")</f>
        <v>Bianca Hernandez</v>
      </c>
      <c r="E20" s="54" t="str" cm="1">
        <f t="array" ref="E20">IFERROR(INDEX(F_SHIFT_ESDS,6),"")</f>
        <v>Kimberly Lott</v>
      </c>
      <c r="F20" s="74">
        <v>930</v>
      </c>
      <c r="G20" s="56"/>
      <c r="H20" s="23"/>
    </row>
    <row r="21" spans="1:8" ht="13.5" customHeight="1" x14ac:dyDescent="0.2">
      <c r="A21" s="55" t="str" cm="1">
        <f t="array" ref="A21">IFERROR(INDEX(A_SHIFT_ESDS,7),"")</f>
        <v>Monica Ramirez</v>
      </c>
      <c r="B21" s="54" t="str" cm="1">
        <f t="array" ref="B21">IFERROR(INDEX(B_SHIFT_ESDS,7),"")</f>
        <v>Lori Brown</v>
      </c>
      <c r="C21" s="54" cm="1">
        <f t="array" ref="C21">IFERROR(INDEX(C_SHIFT_ESDS,7),"")</f>
        <v>0</v>
      </c>
      <c r="D21" s="54" t="str" cm="1">
        <f t="array" ref="D21">IFERROR(INDEX(E_SHIFT_ESDS,7),"")</f>
        <v>Paola Barrientos</v>
      </c>
      <c r="E21" s="54" t="str" cm="1">
        <f t="array" ref="E21">IFERROR(INDEX(F_SHIFT_ESDS,7),"")</f>
        <v>Mariah Rosales</v>
      </c>
      <c r="F21" s="56">
        <v>1130</v>
      </c>
      <c r="G21" s="56"/>
      <c r="H21" s="23"/>
    </row>
    <row r="22" spans="1:8" ht="13.5" customHeight="1" x14ac:dyDescent="0.2">
      <c r="A22" s="55" t="str" cm="1">
        <f t="array" ref="A22">IFERROR(INDEX(A_SHIFT_ESDS,8),"")</f>
        <v>Jamielyn Shwetzer</v>
      </c>
      <c r="B22" s="54" t="str" cm="1">
        <f t="array" ref="B22">IFERROR(INDEX(B_SHIFT_ESDS,8),"")</f>
        <v xml:space="preserve">Heidi Roberts </v>
      </c>
      <c r="C22" s="54" cm="1">
        <f t="array" ref="C22">IFERROR(INDEX(C_SHIFT_ESDS,8),"")</f>
        <v>0</v>
      </c>
      <c r="D22" s="54" t="str" cm="1">
        <f t="array" ref="D22">IFERROR(INDEX(E_SHIFT_ESDS,8),"")</f>
        <v>Jason Yang</v>
      </c>
      <c r="E22" s="54" t="str" cm="1">
        <f t="array" ref="E22">IFERROR(INDEX(F_SHIFT_ESDS,8),"")</f>
        <v>Raquel Salazar</v>
      </c>
      <c r="F22" s="56">
        <v>1330</v>
      </c>
      <c r="G22" s="56"/>
      <c r="H22" s="23"/>
    </row>
    <row r="23" spans="1:8" ht="13.5" customHeight="1" x14ac:dyDescent="0.2">
      <c r="A23" s="55" t="str" cm="1">
        <f t="array" ref="A23">IFERROR(INDEX(A_SHIFT_ESDS,9),"")</f>
        <v>Valeria Guzman</v>
      </c>
      <c r="B23" s="54" t="str" cm="1">
        <f t="array" ref="B23">IFERROR(INDEX(B_SHIFT_ESDS,9),"")</f>
        <v>Rebekah Isquierdo</v>
      </c>
      <c r="C23" s="54" cm="1">
        <f t="array" ref="C23">IFERROR(INDEX(C_SHIFT_ESDS,9),"")</f>
        <v>0</v>
      </c>
      <c r="D23" s="54" t="str" cm="1">
        <f t="array" ref="D23">IFERROR(INDEX(E_SHIFT_ESDS,9),"")</f>
        <v>Adrienne Rodriguez</v>
      </c>
      <c r="E23" s="54" t="str" cm="1">
        <f t="array" ref="E23">IFERROR(INDEX(F_SHIFT_ESDS,9),"")</f>
        <v>Jorge Alcorn</v>
      </c>
      <c r="F23" s="56">
        <v>1530</v>
      </c>
      <c r="G23" s="56"/>
      <c r="H23" s="23"/>
    </row>
    <row r="24" spans="1:8" ht="13.5" customHeight="1" x14ac:dyDescent="0.2">
      <c r="A24" s="55" t="str" cm="1">
        <f t="array" ref="A24">IFERROR(INDEX(A_SHIFT_ESDS,10),"")</f>
        <v>Mindy Mcclung</v>
      </c>
      <c r="B24" s="54" t="str" cm="1">
        <f t="array" ref="B24">IFERROR(INDEX(B_SHIFT_ESDS,10),"")</f>
        <v>Darlene Foell</v>
      </c>
      <c r="C24" s="54" cm="1">
        <f t="array" ref="C24">IFERROR(INDEX(C_SHIFT_ESDS,10),"")</f>
        <v>0</v>
      </c>
      <c r="D24" s="54" t="str" cm="1">
        <f t="array" ref="D24">IFERROR(INDEX(E_SHIFT_ESDS,10),"")</f>
        <v>Adriana Dedios</v>
      </c>
      <c r="E24" s="54" t="str" cm="1">
        <f t="array" ref="E24">IFERROR(INDEX(F_SHIFT_ESDS,10),"")</f>
        <v>Jasmine Gomez</v>
      </c>
      <c r="F24" s="56">
        <v>1730</v>
      </c>
      <c r="G24" s="56"/>
      <c r="H24" s="23"/>
    </row>
    <row r="25" spans="1:8" ht="13.5" customHeight="1" x14ac:dyDescent="0.2">
      <c r="A25" s="55" t="str" cm="1">
        <f t="array" ref="A25">IFERROR(INDEX(A_SHIFT_ESDS,11),"")</f>
        <v>Alexis Yandell</v>
      </c>
      <c r="B25" s="54" t="str" cm="1">
        <f t="array" ref="B25">IFERROR(INDEX(B_SHIFT_ESDS,11),"")</f>
        <v>Markey Blankenship</v>
      </c>
      <c r="C25" s="54" cm="1">
        <f t="array" ref="C25">IFERROR(INDEX(C_SHIFT_ESDS,11),"")</f>
        <v>0</v>
      </c>
      <c r="D25" s="54" t="str" cm="1">
        <f t="array" ref="D25">IFERROR(INDEX(E_SHIFT_ESDS,11),"")</f>
        <v>Dulcivet Garcia</v>
      </c>
      <c r="E25" s="54" t="str" cm="1">
        <f t="array" ref="E25">IFERROR(INDEX(F_SHIFT_ESDS,11),"")</f>
        <v>April Ponce</v>
      </c>
      <c r="F25" s="74">
        <v>1930</v>
      </c>
      <c r="G25" s="56"/>
      <c r="H25" s="23"/>
    </row>
    <row r="26" spans="1:8" ht="13.5" customHeight="1" x14ac:dyDescent="0.2">
      <c r="A26" s="55" t="str" cm="1">
        <f t="array" ref="A26">IFERROR(INDEX(A_SHIFT_ESDS,12),"")</f>
        <v>Marrie Sip</v>
      </c>
      <c r="B26" s="54" t="str" cm="1">
        <f t="array" ref="B26">IFERROR(INDEX(B_SHIFT_ESDS,12),"")</f>
        <v>Sonam Carter</v>
      </c>
      <c r="C26" s="54" cm="1">
        <f t="array" ref="C26">IFERROR(INDEX(C_SHIFT_ESDS,12),"")</f>
        <v>0</v>
      </c>
      <c r="D26" s="54" t="str" cm="1">
        <f t="array" ref="D26">IFERROR(INDEX(E_SHIFT_ESDS,12),"")</f>
        <v>Susie Amezcua</v>
      </c>
      <c r="E26" s="54" t="str" cm="1">
        <f t="array" ref="E26">IFERROR(INDEX(F_SHIFT_ESDS,12),"")</f>
        <v>Curt Barrow</v>
      </c>
      <c r="F26" s="74">
        <v>2130</v>
      </c>
      <c r="G26" s="56"/>
      <c r="H26" s="23"/>
    </row>
    <row r="27" spans="1:8" ht="13.5" customHeight="1" x14ac:dyDescent="0.2">
      <c r="A27" s="55" t="str" cm="1">
        <f t="array" ref="A27">IFERROR(INDEX(A_SHIFT_ESDS,13),"")</f>
        <v>Chelsea Meave</v>
      </c>
      <c r="B27" s="54" t="str" cm="1">
        <f t="array" ref="B27">IFERROR(INDEX(B_SHIFT_ESDS,13),"")</f>
        <v xml:space="preserve">Jessica Dukes </v>
      </c>
      <c r="C27" s="54" cm="1">
        <f t="array" ref="C27">IFERROR(INDEX(C_SHIFT_ESDS,13),"")</f>
        <v>0</v>
      </c>
      <c r="D27" s="54" t="str" cm="1">
        <f t="array" ref="D27">IFERROR(INDEX(E_SHIFT_ESDS,13),"")</f>
        <v>Nathanly Rodriguez</v>
      </c>
      <c r="E27" s="54" t="str" cm="1">
        <f t="array" ref="E27">IFERROR(INDEX(F_SHIFT_ESDS,13),"")</f>
        <v>Stephanie Rojas</v>
      </c>
      <c r="F27" s="74">
        <v>2330</v>
      </c>
      <c r="G27" s="56"/>
      <c r="H27" s="23"/>
    </row>
    <row r="28" spans="1:8" ht="13.5" customHeight="1" x14ac:dyDescent="0.2">
      <c r="A28" s="55" t="str" cm="1">
        <f t="array" ref="A28">IFERROR(INDEX(A_SHIFT_ESDS,14),"")</f>
        <v>Gwen Anzaldo</v>
      </c>
      <c r="B28" s="54" t="str" cm="1">
        <f t="array" ref="B28">IFERROR(INDEX(B_SHIFT_ESDS,14),"")</f>
        <v xml:space="preserve">Sarah Fraley </v>
      </c>
      <c r="C28" s="54" cm="1">
        <f t="array" ref="C28">IFERROR(INDEX(C_SHIFT_ESDS,14),"")</f>
        <v>0</v>
      </c>
      <c r="D28" s="54" t="str" cm="1">
        <f t="array" ref="D28">IFERROR(INDEX(E_SHIFT_ESDS,14),"")</f>
        <v>Akilah Mccullough</v>
      </c>
      <c r="E28" s="54" t="str" cm="1">
        <f t="array" ref="E28">IFERROR(INDEX(F_SHIFT_ESDS,14),"")</f>
        <v>Mark Teixeira</v>
      </c>
      <c r="F28" s="56">
        <v>130</v>
      </c>
      <c r="G28" s="56"/>
      <c r="H28" s="23"/>
    </row>
    <row r="29" spans="1:8" ht="13.5" customHeight="1" x14ac:dyDescent="0.2">
      <c r="A29" s="55" t="str" cm="1">
        <f t="array" ref="A29">IFERROR(INDEX(A_SHIFT_ESDS,15),"")</f>
        <v>Robert Noriega</v>
      </c>
      <c r="B29" s="54" t="str" cm="1">
        <f t="array" ref="B29">IFERROR(INDEX(B_SHIFT_ESDS,15),"")</f>
        <v>Josephine Botello</v>
      </c>
      <c r="C29" s="54" cm="1">
        <f t="array" ref="C29">IFERROR(INDEX(C_SHIFT_ESDS,15),"")</f>
        <v>0</v>
      </c>
      <c r="D29" s="54" t="str" cm="1">
        <f t="array" ref="D29">IFERROR(INDEX(E_SHIFT_ESDS,15),"")</f>
        <v>Allyson Trevino</v>
      </c>
      <c r="E29" s="54" t="str" cm="1">
        <f t="array" ref="E29">IFERROR(INDEX(F_SHIFT_ESDS,15),"")</f>
        <v>Edie Ochoa</v>
      </c>
      <c r="G29" s="100" t="s">
        <v>166</v>
      </c>
      <c r="H29" s="100"/>
    </row>
    <row r="30" spans="1:8" ht="13.5" customHeight="1" x14ac:dyDescent="0.2">
      <c r="A30" s="55" cm="1">
        <f t="array" ref="A30">IFERROR(INDEX(A_SHIFT_ESDS,16),"")</f>
        <v>0</v>
      </c>
      <c r="B30" s="54" t="str" cm="1">
        <f t="array" ref="B30">IFERROR(INDEX(B_SHIFT_ESDS,16),"")</f>
        <v>Maribel Escareno</v>
      </c>
      <c r="C30" s="54"/>
      <c r="D30" s="54" t="str" cm="1">
        <f t="array" ref="D30">IFERROR(INDEX(E_SHIFT_ESDS,16),"")</f>
        <v>Jessica Cardoza</v>
      </c>
      <c r="E30" s="54" cm="1">
        <f t="array" ref="E30">IFERROR(INDEX(F_SHIFT_ESDS,16),"")</f>
        <v>0</v>
      </c>
      <c r="G30" s="74">
        <v>1530</v>
      </c>
      <c r="H30" s="75" t="str">
        <f>IF('2026'!I91&lt;&gt;"", '2026'!I91, "")</f>
        <v/>
      </c>
    </row>
    <row r="31" spans="1:8" ht="13.5" customHeight="1" x14ac:dyDescent="0.2">
      <c r="A31" s="55" cm="1">
        <f t="array" ref="A31">IFERROR(INDEX(A_SHIFT_ESDS,17),"")</f>
        <v>0</v>
      </c>
      <c r="B31" s="54" t="str" cm="1">
        <f t="array" ref="B31">IFERROR(INDEX(B_SHIFT_ESDS,17),"")</f>
        <v>Kyler Lorin</v>
      </c>
      <c r="C31" s="54"/>
      <c r="D31" s="54" t="str" cm="1">
        <f t="array" ref="D31">IFERROR(INDEX(E_SHIFT_ESDS,17),"")</f>
        <v>Jesse Jimenez</v>
      </c>
      <c r="E31" s="54" cm="1">
        <f t="array" ref="E31">IFERROR(INDEX(F_SHIFT_ESDS,17),"")</f>
        <v>0</v>
      </c>
      <c r="F31" s="58"/>
      <c r="G31" s="74">
        <v>1730</v>
      </c>
      <c r="H31" s="75" t="str">
        <f>IF('2026'!I92&lt;&gt;"", '2026'!I92, "")</f>
        <v/>
      </c>
    </row>
    <row r="32" spans="1:8" ht="13.5" customHeight="1" x14ac:dyDescent="0.2">
      <c r="A32" s="55" cm="1">
        <f t="array" ref="A32">IFERROR(INDEX(A_SHIFT_ESDS,18),"")</f>
        <v>0</v>
      </c>
      <c r="B32" s="54" t="str" cm="1">
        <f t="array" ref="B32">IFERROR(INDEX(B_SHIFT_ESDS,18),"")</f>
        <v>Eric Uribe</v>
      </c>
      <c r="C32" s="54"/>
      <c r="D32" s="54" t="str" cm="1">
        <f t="array" ref="D32">IFERROR(INDEX(E_SHIFT_ESDS,18),"")</f>
        <v>Cicaly Cruz</v>
      </c>
      <c r="E32" s="54" cm="1">
        <f t="array" ref="E32">IFERROR(INDEX(F_SHIFT_ESDS,18),"")</f>
        <v>0</v>
      </c>
      <c r="G32" s="74">
        <v>1930</v>
      </c>
      <c r="H32" s="75" t="str">
        <f>IF('2026'!I93&lt;&gt;"", '2026'!I93, "")</f>
        <v/>
      </c>
    </row>
    <row r="33" spans="1:8" ht="13.5" customHeight="1" x14ac:dyDescent="0.2">
      <c r="A33" s="55" cm="1">
        <f t="array" ref="A33">IFERROR(INDEX(A_SHIFT_ESDS,19),"")</f>
        <v>0</v>
      </c>
      <c r="B33" s="54" t="str" cm="1">
        <f t="array" ref="B33">IFERROR(INDEX(B_SHIFT_ESDS,19),"")</f>
        <v>Melina Davila</v>
      </c>
      <c r="C33" s="54"/>
      <c r="D33" s="54" t="str" cm="1">
        <f t="array" ref="D33">IFERROR(INDEX(E_SHIFT_ESDS,19),"")</f>
        <v>Cassidy Voudry</v>
      </c>
      <c r="E33" s="54" cm="1">
        <f t="array" ref="E33">IFERROR(INDEX(F_SHIFT_ESDS,19),"")</f>
        <v>0</v>
      </c>
      <c r="G33" s="74">
        <v>2130</v>
      </c>
      <c r="H33" s="75" t="str">
        <f>IF('2026'!I94&lt;&gt;"", '2026'!I94, "")</f>
        <v/>
      </c>
    </row>
    <row r="34" spans="1:8" ht="13.5" customHeight="1" x14ac:dyDescent="0.2">
      <c r="A34" s="55" cm="1">
        <f t="array" ref="A34">IFERROR(INDEX(A_SHIFT_ESDS,20),"")</f>
        <v>0</v>
      </c>
      <c r="B34" s="54" t="str" cm="1">
        <f t="array" ref="B34">IFERROR(INDEX(B_SHIFT_ESDS,20),"")</f>
        <v>Jose Lopez</v>
      </c>
      <c r="C34" s="54"/>
      <c r="D34" s="54" t="str" cm="1">
        <f t="array" ref="D34">IFERROR(INDEX(E_SHIFT_ESDS,20),"")</f>
        <v>Kanong Lee</v>
      </c>
      <c r="E34" s="54" cm="1">
        <f t="array" ref="E34">IFERROR(INDEX(F_SHIFT_ESDS,20),"")</f>
        <v>0</v>
      </c>
      <c r="G34" s="74">
        <v>2330</v>
      </c>
      <c r="H34" s="75" t="str">
        <f>IF('2026'!I95&lt;&gt;"", '2026'!I95, "")</f>
        <v/>
      </c>
    </row>
    <row r="35" spans="1:8" ht="13.5" customHeight="1" x14ac:dyDescent="0.2">
      <c r="A35" s="55" cm="1">
        <f t="array" ref="A35">IFERROR(INDEX(A_SHIFT_ESDS,21),"")</f>
        <v>0</v>
      </c>
      <c r="B35" s="54" t="str" cm="1">
        <f t="array" ref="B35">IFERROR(INDEX(B_SHIFT_ESDS,21),"")</f>
        <v>Brenda Basulto</v>
      </c>
      <c r="C35" s="54"/>
      <c r="D35" s="54" t="str" cm="1">
        <f t="array" ref="D35">IFERROR(INDEX(E_SHIFT_ESDS,21),"")</f>
        <v>Delaney Boyd-Escobedo</v>
      </c>
      <c r="E35" s="54" cm="1">
        <f t="array" ref="E35">IFERROR(INDEX(F_SHIFT_ESDS,21),"")</f>
        <v>0</v>
      </c>
      <c r="G35" s="74">
        <v>130</v>
      </c>
      <c r="H35" s="75" t="str">
        <f>IF('2026'!I96&lt;&gt;"", '2026'!I96, "")</f>
        <v/>
      </c>
    </row>
    <row r="36" spans="1:8" ht="12.2" customHeight="1" x14ac:dyDescent="0.25">
      <c r="A36" s="54"/>
      <c r="B36" s="54" t="str" cm="1">
        <f t="array" ref="B36">IFERROR(INDEX(B_SHIFT_ESDS,22),"")</f>
        <v>Vanessa Mercado</v>
      </c>
      <c r="C36" s="52" t="s">
        <v>37</v>
      </c>
      <c r="D36" s="54" t="str" cm="1">
        <f t="array" ref="D36">IFERROR(INDEX(E_SHIFT_ESDS,22),"")</f>
        <v>Jackeline Carreon</v>
      </c>
      <c r="E36" s="54" cm="1">
        <f t="array" ref="E36">IFERROR(INDEX(F_SHIFT_ESDS,22),"")</f>
        <v>0</v>
      </c>
      <c r="G36" s="84"/>
      <c r="H36" s="85"/>
    </row>
    <row r="37" spans="1:8" ht="12.2" customHeight="1" x14ac:dyDescent="0.25">
      <c r="A37" s="54"/>
      <c r="B37" s="54" cm="1">
        <f t="array" ref="B37">IFERROR(INDEX(B_SHIFT_ESDS,23),"")</f>
        <v>0</v>
      </c>
      <c r="C37" s="54" t="str" cm="1">
        <f t="array" ref="C37">IFERROR(INDEX(D_SHIFT_ESDS,1),"")</f>
        <v>May Yen Yang</v>
      </c>
      <c r="D37" s="54" t="str" cm="1">
        <f t="array" ref="D37">IFERROR(INDEX(E_SHIFT_ESDS,23),"")</f>
        <v>Leanne Heslep</v>
      </c>
      <c r="E37" s="54" cm="1">
        <f t="array" ref="E37">IFERROR(INDEX(F_SHIFT_ESDS,23),"")</f>
        <v>0</v>
      </c>
      <c r="F37" s="65"/>
      <c r="G37" s="59" t="s">
        <v>114</v>
      </c>
      <c r="H37" s="60"/>
    </row>
    <row r="38" spans="1:8" ht="12.2" customHeight="1" x14ac:dyDescent="0.2">
      <c r="A38" s="54"/>
      <c r="B38" s="54" cm="1">
        <f t="array" ref="B38">IFERROR(INDEX(B_SHIFT_ESDS,24),"")</f>
        <v>0</v>
      </c>
      <c r="C38" s="54" t="str" cm="1">
        <f t="array" ref="C38">IFERROR(INDEX(D_SHIFT_ESDS,2),"")</f>
        <v>Lydia Martinez</v>
      </c>
      <c r="D38" s="54" t="str" cm="1">
        <f t="array" ref="D38">IFERROR(INDEX(E_SHIFT_ESDS,24),"")</f>
        <v xml:space="preserve">Brittany Watson </v>
      </c>
      <c r="E38" s="54" cm="1">
        <f t="array" ref="E38">IFERROR(INDEX(F_SHIFT_ESDS,24),"")</f>
        <v>0</v>
      </c>
      <c r="G38" s="59" t="s">
        <v>18</v>
      </c>
      <c r="H38" s="60"/>
    </row>
    <row r="39" spans="1:8" ht="12.2" customHeight="1" x14ac:dyDescent="0.25">
      <c r="A39" s="54"/>
      <c r="B39" s="54" cm="1">
        <f t="array" ref="B39">IFERROR(INDEX(B_SHIFT_ESDS,25),"")</f>
        <v>0</v>
      </c>
      <c r="C39" s="54" t="str" cm="1">
        <f t="array" ref="C39">IFERROR(INDEX(D_SHIFT_ESDS,3),"")</f>
        <v>Amanda Willis</v>
      </c>
      <c r="D39" s="54" cm="1">
        <f t="array" ref="D39">IFERROR(INDEX(E_SHIFT_ESDS,25),"")</f>
        <v>0</v>
      </c>
      <c r="E39" s="54"/>
      <c r="F39" s="65"/>
      <c r="G39" s="59" t="s">
        <v>7</v>
      </c>
      <c r="H39" s="60"/>
    </row>
    <row r="40" spans="1:8" ht="12.2" customHeight="1" x14ac:dyDescent="0.2">
      <c r="A40" s="54"/>
      <c r="B40" s="54" cm="1">
        <f t="array" ref="B40">IFERROR(INDEX(B_SHIFT_ESDS,26),"")</f>
        <v>0</v>
      </c>
      <c r="C40" s="54" t="str" cm="1">
        <f t="array" ref="C40">IFERROR(INDEX(D_SHIFT_ESDS,4),"")</f>
        <v>Maria Jones</v>
      </c>
      <c r="D40" s="54" cm="1">
        <f t="array" ref="D40">IFERROR(INDEX(E_SHIFT_ESDS,26),"")</f>
        <v>0</v>
      </c>
      <c r="E40" s="54"/>
      <c r="F40" s="61"/>
      <c r="G40" s="59" t="s">
        <v>8</v>
      </c>
      <c r="H40" s="60"/>
    </row>
    <row r="41" spans="1:8" ht="12.2" customHeight="1" x14ac:dyDescent="0.2">
      <c r="A41" s="54"/>
      <c r="B41" s="54" cm="1">
        <f t="array" ref="B41">IFERROR(INDEX(B_SHIFT_ESDS,27),"")</f>
        <v>0</v>
      </c>
      <c r="C41" s="54" t="str" cm="1">
        <f t="array" ref="C41">IFERROR(INDEX(D_SHIFT_ESDS,5),"")</f>
        <v>Shadon Riahizadeh</v>
      </c>
      <c r="D41" s="54" cm="1">
        <f t="array" ref="D41">IFERROR(INDEX(E_SHIFT_ESDS,27),"")</f>
        <v>0</v>
      </c>
      <c r="E41" s="54"/>
      <c r="F41" s="61"/>
      <c r="G41" s="61"/>
      <c r="H41" s="61"/>
    </row>
    <row r="42" spans="1:8" ht="12.2" customHeight="1" x14ac:dyDescent="0.2">
      <c r="A42" s="54"/>
      <c r="B42" s="54" cm="1">
        <f t="array" ref="B42">IFERROR(INDEX(B_SHIFT_ESDS,28),"")</f>
        <v>0</v>
      </c>
      <c r="C42" s="54" t="str" cm="1">
        <f t="array" ref="C42">IFERROR(INDEX(D_SHIFT_ESDS,6),"")</f>
        <v>Danielle Parre</v>
      </c>
      <c r="D42" s="54" cm="1">
        <f t="array" ref="D42">IFERROR(INDEX(E_SHIFT_ESDS,28),"")</f>
        <v>0</v>
      </c>
      <c r="E42" s="54"/>
      <c r="F42" s="61"/>
      <c r="G42" s="61"/>
      <c r="H42" s="61"/>
    </row>
    <row r="43" spans="1:8" ht="15.75" customHeight="1" x14ac:dyDescent="0.2">
      <c r="A43" s="54"/>
      <c r="B43" s="54" cm="1">
        <f t="array" ref="B43">IFERROR(INDEX(B_SHIFT_ESDS,29),"")</f>
        <v>0</v>
      </c>
      <c r="C43" s="54" t="str" cm="1">
        <f t="array" ref="C43">IFERROR(INDEX(D_SHIFT_ESDS,7),"")</f>
        <v>Brenda Basulto</v>
      </c>
      <c r="D43" s="54" cm="1">
        <f t="array" ref="D43">IFERROR(INDEX(E_SHIFT_ESDS,29),"")</f>
        <v>0</v>
      </c>
      <c r="E43" s="54"/>
      <c r="F43" s="64"/>
      <c r="G43" s="61"/>
      <c r="H43" s="61"/>
    </row>
    <row r="44" spans="1:8" ht="15.75" customHeight="1" x14ac:dyDescent="0.2">
      <c r="A44" s="54"/>
      <c r="B44" s="54" cm="1">
        <f t="array" ref="B44">IFERROR(INDEX(B_SHIFT_ESDS,30),"")</f>
        <v>0</v>
      </c>
      <c r="C44" s="54" t="str" cm="1">
        <f t="array" ref="C44">IFERROR(INDEX(D_SHIFT_ESDS,8),"")</f>
        <v>Emily Franco</v>
      </c>
      <c r="D44" s="54" cm="1">
        <f t="array" ref="D44">IFERROR(INDEX(E_SHIFT_ESDS,30),"")</f>
        <v>0</v>
      </c>
      <c r="E44" s="54"/>
      <c r="F44" s="64"/>
      <c r="G44" s="61"/>
      <c r="H44" s="61"/>
    </row>
    <row r="45" spans="1:8" ht="15.75" customHeight="1" x14ac:dyDescent="0.2">
      <c r="A45" s="54"/>
      <c r="B45" s="54" cm="1">
        <f t="array" ref="B45">IFERROR(INDEX(B_SHIFT_ESDS,31),"")</f>
        <v>0</v>
      </c>
      <c r="C45" s="54" t="str" cm="1">
        <f t="array" ref="C45">IFERROR(INDEX(D_SHIFT_ESDS,9),"")</f>
        <v>Ricka  Majors</v>
      </c>
      <c r="D45" s="54" cm="1">
        <f t="array" ref="D45">IFERROR(INDEX(E_SHIFT_ESDS,31),"")</f>
        <v>0</v>
      </c>
      <c r="E45" s="55"/>
    </row>
    <row r="46" spans="1:8" ht="15.75" customHeight="1" x14ac:dyDescent="0.2">
      <c r="A46" s="54" cm="1">
        <f t="array" ref="A46">IFERROR(INDEX(TRAINEES_ESDS,16),"")</f>
        <v>0</v>
      </c>
      <c r="B46" s="54" cm="1">
        <f t="array" ref="B46">IFERROR(INDEX(B_SHIFT_ESDS,32),"")</f>
        <v>0</v>
      </c>
      <c r="C46" s="54" t="str" cm="1">
        <f t="array" ref="C46">IFERROR(INDEX(D_SHIFT_ESDS,10),"")</f>
        <v>Asuzena Aquino</v>
      </c>
      <c r="D46" s="54" cm="1">
        <f t="array" ref="D46">IFERROR(INDEX(E_SHIFT_ESDS,32),"")</f>
        <v>0</v>
      </c>
      <c r="E46" s="55"/>
    </row>
    <row r="47" spans="1:8" ht="15.75" customHeight="1" x14ac:dyDescent="0.2">
      <c r="A47" s="54" cm="1">
        <f t="array" ref="A47">IFERROR(INDEX(TRAINEES_ESDS,17),"")</f>
        <v>0</v>
      </c>
      <c r="B47" s="54" cm="1">
        <f t="array" ref="B47">IFERROR(INDEX(B_SHIFT_ESDS,33),"")</f>
        <v>0</v>
      </c>
      <c r="C47" s="54" t="str" cm="1">
        <f t="array" ref="C47">IFERROR(INDEX(D_SHIFT_ESDS,11),"")</f>
        <v>Jorge Rosales</v>
      </c>
    </row>
    <row r="48" spans="1:8" ht="15.75" customHeight="1" x14ac:dyDescent="0.2">
      <c r="A48" s="54" cm="1">
        <f t="array" ref="A48">IFERROR(INDEX(TRAINEES_ESDS,18),"")</f>
        <v>0</v>
      </c>
      <c r="B48" s="54" cm="1">
        <f t="array" ref="B48">IFERROR(INDEX(B_SHIFT_ESDS,34),"")</f>
        <v>0</v>
      </c>
      <c r="C48" s="54" t="str" cm="1">
        <f t="array" ref="C48">IFERROR(INDEX(D_SHIFT_ESDS,12),"")</f>
        <v>Cierra Chochrek</v>
      </c>
    </row>
    <row r="49" spans="1:3" ht="15.75" customHeight="1" x14ac:dyDescent="0.2">
      <c r="A49" s="54" cm="1">
        <f t="array" ref="A49">IFERROR(INDEX(TRAINEES_ESDS,19),"")</f>
        <v>0</v>
      </c>
      <c r="B49" s="54" cm="1">
        <f t="array" ref="B49">IFERROR(INDEX(B_SHIFT_ESDS,35),"")</f>
        <v>0</v>
      </c>
      <c r="C49" s="54" t="str" cm="1">
        <f t="array" ref="C49">IFERROR(INDEX(D_SHIFT_ESDS,13),"")</f>
        <v>Daniel Gallardo</v>
      </c>
    </row>
    <row r="50" spans="1:3" ht="15.75" customHeight="1" x14ac:dyDescent="0.2">
      <c r="A50" s="54" cm="1">
        <f t="array" ref="A50">IFERROR(INDEX(TRAINEES_ESDS,20),"")</f>
        <v>0</v>
      </c>
      <c r="B50" s="54" cm="1">
        <f t="array" ref="B50">IFERROR(INDEX(B_SHIFT_ESDS,36),"")</f>
        <v>0</v>
      </c>
      <c r="C50" s="54" cm="1">
        <f t="array" ref="C50">IFERROR(INDEX(D_SHIFT_ESDS,14),"")</f>
        <v>0</v>
      </c>
    </row>
    <row r="51" spans="1:3" ht="15.75" customHeight="1" x14ac:dyDescent="0.2">
      <c r="B51" s="54" cm="1">
        <f t="array" ref="B51">IFERROR(INDEX(B_SHIFT_ESDS,37),"")</f>
        <v>0</v>
      </c>
      <c r="C51" s="54" cm="1">
        <f t="array" ref="C51">IFERROR(INDEX(D_SHIFT_ESDS,15),"")</f>
        <v>0</v>
      </c>
    </row>
    <row r="52" spans="1:3" ht="15.75" customHeight="1" x14ac:dyDescent="0.2">
      <c r="B52" s="54" cm="1">
        <f t="array" ref="B52">IFERROR(INDEX(B_SHIFT_ESDS,38),"")</f>
        <v>0</v>
      </c>
      <c r="C52" s="54" cm="1">
        <f t="array" ref="C52">IFERROR(INDEX(D_SHIFT_ESDS,16),"")</f>
        <v>0</v>
      </c>
    </row>
    <row r="53" spans="1:3" ht="15.75" customHeight="1" x14ac:dyDescent="0.2">
      <c r="C53" s="54" cm="1">
        <f t="array" ref="C53">IFERROR(INDEX(D_SHIFT_ESDS,17),"")</f>
        <v>0</v>
      </c>
    </row>
    <row r="54" spans="1:3" ht="15.75" customHeight="1" x14ac:dyDescent="0.2"/>
    <row r="55" spans="1:3" ht="15.75" customHeight="1" x14ac:dyDescent="0.2"/>
    <row r="56" spans="1:3" ht="15.75" customHeight="1" x14ac:dyDescent="0.2"/>
    <row r="57" spans="1:3" ht="15.75" customHeight="1" x14ac:dyDescent="0.2"/>
    <row r="58" spans="1:3" ht="15.75" customHeight="1" x14ac:dyDescent="0.2"/>
    <row r="59" spans="1:3" ht="15.75" customHeight="1" x14ac:dyDescent="0.2"/>
    <row r="60" spans="1:3" ht="15.75" customHeight="1" x14ac:dyDescent="0.2"/>
    <row r="61" spans="1:3" ht="15.75" customHeight="1" x14ac:dyDescent="0.2"/>
    <row r="62" spans="1:3" ht="15.75" customHeight="1" x14ac:dyDescent="0.2"/>
    <row r="63" spans="1:3" ht="15.75" customHeight="1" x14ac:dyDescent="0.2"/>
    <row r="64" spans="1: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sortState xmlns:xlrd2="http://schemas.microsoft.com/office/spreadsheetml/2017/richdata2" ref="B33:B34">
    <sortCondition descending="1" ref="B34"/>
  </sortState>
  <mergeCells count="3">
    <mergeCell ref="G18:H18"/>
    <mergeCell ref="G29:H29"/>
    <mergeCell ref="G36:H36"/>
  </mergeCells>
  <conditionalFormatting sqref="A15:A35">
    <cfRule type="cellIs" dxfId="10" priority="4" operator="equal">
      <formula>0</formula>
    </cfRule>
  </conditionalFormatting>
  <conditionalFormatting sqref="A14:E14 C15:E48 C49:C53">
    <cfRule type="cellIs" dxfId="9" priority="3" operator="equal">
      <formula>0</formula>
    </cfRule>
  </conditionalFormatting>
  <conditionalFormatting sqref="B15:B52">
    <cfRule type="cellIs" dxfId="8" priority="2" operator="equal">
      <formula>0</formula>
    </cfRule>
  </conditionalFormatting>
  <conditionalFormatting sqref="A36:A50">
    <cfRule type="cellIs" dxfId="7" priority="1" operator="equal">
      <formula>0</formula>
    </cfRule>
  </conditionalFormatting>
  <pageMargins left="0.3" right="0" top="0.5" bottom="0" header="0" footer="0"/>
  <pageSetup scale="99" orientation="portrait" verticalDpi="4294967294" r:id="rId1"/>
  <headerFooter>
    <oddHeader>&amp;C&amp;"Arial Black,Regular"&amp;20SATURDAY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822DE-FB6C-4067-A2B2-BE1C164B463C}">
  <sheetPr>
    <pageSetUpPr fitToPage="1"/>
  </sheetPr>
  <dimension ref="A1:E36"/>
  <sheetViews>
    <sheetView workbookViewId="0">
      <selection activeCell="B20" sqref="B20"/>
    </sheetView>
  </sheetViews>
  <sheetFormatPr defaultRowHeight="15" x14ac:dyDescent="0.25"/>
  <cols>
    <col min="1" max="1" width="10.7109375" style="43" customWidth="1"/>
    <col min="2" max="3" width="32.7109375" customWidth="1"/>
    <col min="4" max="4" width="10.7109375" style="43" customWidth="1"/>
    <col min="5" max="5" width="32.7109375" customWidth="1"/>
  </cols>
  <sheetData>
    <row r="1" spans="1:5" ht="24.95" customHeight="1" thickBot="1" x14ac:dyDescent="0.3">
      <c r="A1" s="89" t="s">
        <v>69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5" t="s">
        <v>71</v>
      </c>
      <c r="E2" s="96"/>
    </row>
    <row r="3" spans="1:5" ht="24.95" customHeight="1" thickBot="1" x14ac:dyDescent="0.3">
      <c r="A3" s="42" t="s">
        <v>80</v>
      </c>
      <c r="B3" s="38"/>
      <c r="C3" s="38"/>
      <c r="D3" s="87" t="s">
        <v>80</v>
      </c>
      <c r="E3" s="39"/>
    </row>
    <row r="4" spans="1:5" ht="24.95" customHeight="1" thickBot="1" x14ac:dyDescent="0.3">
      <c r="A4" s="42" t="s">
        <v>97</v>
      </c>
      <c r="B4" s="39"/>
      <c r="C4" s="38"/>
      <c r="D4" s="88"/>
      <c r="E4" s="38"/>
    </row>
    <row r="5" spans="1:5" ht="24.95" customHeight="1" thickBot="1" x14ac:dyDescent="0.3">
      <c r="A5" s="42" t="s">
        <v>81</v>
      </c>
      <c r="B5" s="39"/>
      <c r="C5" s="38"/>
      <c r="D5" s="87" t="s">
        <v>81</v>
      </c>
      <c r="E5" s="39"/>
    </row>
    <row r="6" spans="1:5" ht="24.95" customHeight="1" thickBot="1" x14ac:dyDescent="0.3">
      <c r="A6" s="42" t="s">
        <v>98</v>
      </c>
      <c r="B6" s="40"/>
      <c r="C6" s="38"/>
      <c r="D6" s="88"/>
      <c r="E6" s="38"/>
    </row>
    <row r="7" spans="1:5" ht="24.95" customHeight="1" thickBot="1" x14ac:dyDescent="0.3">
      <c r="A7" s="42" t="s">
        <v>82</v>
      </c>
      <c r="B7" s="39"/>
      <c r="C7" s="38"/>
      <c r="D7" s="87" t="s">
        <v>82</v>
      </c>
      <c r="E7" s="39"/>
    </row>
    <row r="8" spans="1:5" ht="24.95" customHeight="1" thickBot="1" x14ac:dyDescent="0.3">
      <c r="A8" s="42" t="s">
        <v>99</v>
      </c>
      <c r="B8" s="40"/>
      <c r="C8" s="38"/>
      <c r="D8" s="88"/>
      <c r="E8" s="38"/>
    </row>
    <row r="9" spans="1:5" ht="24.95" customHeight="1" thickBot="1" x14ac:dyDescent="0.3">
      <c r="A9" s="42" t="s">
        <v>83</v>
      </c>
      <c r="B9" s="39"/>
      <c r="C9" s="38"/>
      <c r="D9" s="87" t="s">
        <v>83</v>
      </c>
      <c r="E9" s="39"/>
    </row>
    <row r="10" spans="1:5" ht="24.95" customHeight="1" thickBot="1" x14ac:dyDescent="0.3">
      <c r="A10" s="42" t="s">
        <v>100</v>
      </c>
      <c r="B10" s="40"/>
      <c r="C10" s="38"/>
      <c r="D10" s="88"/>
      <c r="E10" s="38"/>
    </row>
    <row r="11" spans="1:5" ht="24.95" customHeight="1" thickBot="1" x14ac:dyDescent="0.3">
      <c r="A11" s="42" t="s">
        <v>84</v>
      </c>
      <c r="B11" s="39"/>
      <c r="C11" s="38"/>
      <c r="D11" s="87" t="s">
        <v>84</v>
      </c>
      <c r="E11" s="40"/>
    </row>
    <row r="12" spans="1:5" ht="24.95" customHeight="1" thickBot="1" x14ac:dyDescent="0.3">
      <c r="A12" s="42" t="s">
        <v>101</v>
      </c>
      <c r="B12" s="39"/>
      <c r="C12" s="38"/>
      <c r="D12" s="88"/>
      <c r="E12" s="38"/>
    </row>
    <row r="13" spans="1:5" ht="24.95" customHeight="1" thickBot="1" x14ac:dyDescent="0.3">
      <c r="A13" s="42" t="s">
        <v>85</v>
      </c>
      <c r="B13" s="39"/>
      <c r="C13" s="38"/>
      <c r="D13" s="87" t="s">
        <v>85</v>
      </c>
      <c r="E13" s="39"/>
    </row>
    <row r="14" spans="1:5" ht="24.95" customHeight="1" thickBot="1" x14ac:dyDescent="0.3">
      <c r="A14" s="42" t="s">
        <v>102</v>
      </c>
      <c r="B14" s="39"/>
      <c r="C14" s="38"/>
      <c r="D14" s="88"/>
      <c r="E14" s="38"/>
    </row>
    <row r="15" spans="1:5" ht="24.95" customHeight="1" thickBot="1" x14ac:dyDescent="0.3">
      <c r="A15" s="42" t="s">
        <v>86</v>
      </c>
      <c r="B15" s="39"/>
      <c r="C15" s="70"/>
      <c r="D15" s="87" t="s">
        <v>86</v>
      </c>
      <c r="E15" s="38"/>
    </row>
    <row r="16" spans="1:5" ht="24.95" customHeight="1" thickBot="1" x14ac:dyDescent="0.3">
      <c r="A16" s="42" t="s">
        <v>103</v>
      </c>
      <c r="B16" s="39"/>
      <c r="C16" s="70"/>
      <c r="D16" s="88"/>
      <c r="E16" s="38"/>
    </row>
    <row r="17" spans="1:5" ht="24.95" customHeight="1" thickBot="1" x14ac:dyDescent="0.3">
      <c r="A17" s="42" t="s">
        <v>87</v>
      </c>
      <c r="B17" s="39"/>
      <c r="C17" s="38"/>
      <c r="D17" s="87" t="s">
        <v>87</v>
      </c>
      <c r="E17" s="39"/>
    </row>
    <row r="18" spans="1:5" ht="24.95" customHeight="1" thickBot="1" x14ac:dyDescent="0.3">
      <c r="A18" s="42" t="s">
        <v>104</v>
      </c>
      <c r="B18" s="39"/>
      <c r="C18" s="38"/>
      <c r="D18" s="88"/>
      <c r="E18" s="38"/>
    </row>
    <row r="19" spans="1:5" ht="24.95" customHeight="1" thickBot="1" x14ac:dyDescent="0.3">
      <c r="A19" s="42" t="s">
        <v>88</v>
      </c>
      <c r="B19" s="38"/>
      <c r="C19" s="38"/>
      <c r="D19" s="87" t="s">
        <v>88</v>
      </c>
      <c r="E19" s="39"/>
    </row>
    <row r="20" spans="1:5" ht="24.95" customHeight="1" thickBot="1" x14ac:dyDescent="0.3">
      <c r="A20" s="42" t="s">
        <v>105</v>
      </c>
      <c r="B20" s="70"/>
      <c r="C20" s="38"/>
      <c r="D20" s="88"/>
      <c r="E20" s="38"/>
    </row>
    <row r="21" spans="1:5" ht="24.95" customHeight="1" thickBot="1" x14ac:dyDescent="0.3">
      <c r="A21" s="42" t="s">
        <v>89</v>
      </c>
      <c r="B21" s="39"/>
      <c r="C21" s="38"/>
      <c r="D21" s="87" t="s">
        <v>89</v>
      </c>
      <c r="E21" s="41"/>
    </row>
    <row r="22" spans="1:5" ht="24.95" customHeight="1" thickBot="1" x14ac:dyDescent="0.3">
      <c r="A22" s="42" t="s">
        <v>106</v>
      </c>
      <c r="B22" s="39"/>
      <c r="C22" s="38"/>
      <c r="D22" s="88"/>
      <c r="E22" s="38"/>
    </row>
    <row r="23" spans="1:5" ht="24.95" customHeight="1" thickBot="1" x14ac:dyDescent="0.3">
      <c r="A23" s="42" t="s">
        <v>90</v>
      </c>
      <c r="B23" s="39"/>
      <c r="C23" s="39"/>
      <c r="D23" s="87" t="s">
        <v>90</v>
      </c>
      <c r="E23" s="39"/>
    </row>
    <row r="24" spans="1:5" ht="24.95" customHeight="1" thickBot="1" x14ac:dyDescent="0.3">
      <c r="A24" s="42" t="s">
        <v>107</v>
      </c>
      <c r="B24" s="40"/>
      <c r="C24" s="38"/>
      <c r="D24" s="88"/>
      <c r="E24" s="39"/>
    </row>
    <row r="25" spans="1:5" ht="24.95" customHeight="1" thickBot="1" x14ac:dyDescent="0.3">
      <c r="A25" s="42" t="s">
        <v>91</v>
      </c>
      <c r="B25" s="39"/>
      <c r="C25" s="39"/>
      <c r="D25" s="87" t="s">
        <v>91</v>
      </c>
      <c r="E25" s="39"/>
    </row>
    <row r="26" spans="1:5" ht="24.95" customHeight="1" thickBot="1" x14ac:dyDescent="0.3">
      <c r="A26" s="42" t="s">
        <v>108</v>
      </c>
      <c r="B26" s="40"/>
      <c r="C26" s="38"/>
      <c r="D26" s="88"/>
      <c r="E26" s="39"/>
    </row>
    <row r="27" spans="1:5" ht="24.95" customHeight="1" thickBot="1" x14ac:dyDescent="0.3">
      <c r="A27" s="42" t="s">
        <v>92</v>
      </c>
      <c r="B27" s="39"/>
      <c r="C27" s="39"/>
      <c r="D27" s="87" t="s">
        <v>92</v>
      </c>
      <c r="E27" s="39"/>
    </row>
    <row r="28" spans="1:5" ht="24.95" customHeight="1" thickBot="1" x14ac:dyDescent="0.3">
      <c r="A28" s="42" t="s">
        <v>109</v>
      </c>
      <c r="B28" s="39"/>
      <c r="C28" s="38"/>
      <c r="D28" s="88"/>
      <c r="E28" s="39"/>
    </row>
    <row r="29" spans="1:5" ht="24.95" customHeight="1" thickBot="1" x14ac:dyDescent="0.3">
      <c r="A29" s="42" t="s">
        <v>93</v>
      </c>
      <c r="B29" s="39"/>
      <c r="C29" s="38"/>
      <c r="D29" s="87" t="s">
        <v>93</v>
      </c>
      <c r="E29" s="39"/>
    </row>
    <row r="30" spans="1:5" ht="24.95" customHeight="1" thickBot="1" x14ac:dyDescent="0.3">
      <c r="A30" s="42" t="s">
        <v>110</v>
      </c>
      <c r="B30" s="40"/>
      <c r="C30" s="38"/>
      <c r="D30" s="88"/>
      <c r="E30" s="39"/>
    </row>
    <row r="31" spans="1:5" ht="24.95" customHeight="1" thickBot="1" x14ac:dyDescent="0.3">
      <c r="A31" s="42" t="s">
        <v>94</v>
      </c>
      <c r="B31" s="39"/>
      <c r="C31" s="38"/>
      <c r="D31" s="87" t="s">
        <v>94</v>
      </c>
      <c r="E31" s="39"/>
    </row>
    <row r="32" spans="1:5" ht="24.95" customHeight="1" thickBot="1" x14ac:dyDescent="0.3">
      <c r="A32" s="42" t="s">
        <v>111</v>
      </c>
      <c r="B32" s="40"/>
      <c r="C32" s="39"/>
      <c r="D32" s="88"/>
      <c r="E32" s="39"/>
    </row>
    <row r="33" spans="1:5" ht="24.95" customHeight="1" thickBot="1" x14ac:dyDescent="0.3">
      <c r="A33" s="42" t="s">
        <v>95</v>
      </c>
      <c r="B33" s="39"/>
      <c r="C33" s="38"/>
      <c r="D33" s="87" t="s">
        <v>95</v>
      </c>
      <c r="E33" s="40"/>
    </row>
    <row r="34" spans="1:5" ht="24.95" customHeight="1" thickBot="1" x14ac:dyDescent="0.3">
      <c r="A34" s="42" t="s">
        <v>112</v>
      </c>
      <c r="B34" s="39"/>
      <c r="C34" s="38"/>
      <c r="D34" s="88"/>
      <c r="E34" s="38"/>
    </row>
    <row r="35" spans="1:5" ht="24.95" customHeight="1" thickBot="1" x14ac:dyDescent="0.3">
      <c r="A35" s="42" t="s">
        <v>96</v>
      </c>
      <c r="B35" s="39"/>
      <c r="C35" s="38"/>
      <c r="D35" s="87" t="s">
        <v>96</v>
      </c>
      <c r="E35" s="39"/>
    </row>
    <row r="36" spans="1:5" ht="24.95" customHeight="1" thickBot="1" x14ac:dyDescent="0.3">
      <c r="A36" s="42" t="s">
        <v>113</v>
      </c>
      <c r="B36" s="39"/>
      <c r="C36" s="38"/>
      <c r="D36" s="88"/>
      <c r="E36" s="38"/>
    </row>
  </sheetData>
  <mergeCells count="20">
    <mergeCell ref="D19:D20"/>
    <mergeCell ref="A1:E1"/>
    <mergeCell ref="A2:C2"/>
    <mergeCell ref="D2:E2"/>
    <mergeCell ref="D3:D4"/>
    <mergeCell ref="D5:D6"/>
    <mergeCell ref="D7:D8"/>
    <mergeCell ref="D9:D10"/>
    <mergeCell ref="D11:D12"/>
    <mergeCell ref="D13:D14"/>
    <mergeCell ref="D15:D16"/>
    <mergeCell ref="D17:D18"/>
    <mergeCell ref="D33:D34"/>
    <mergeCell ref="D35:D36"/>
    <mergeCell ref="D21:D22"/>
    <mergeCell ref="D23:D24"/>
    <mergeCell ref="D25:D26"/>
    <mergeCell ref="D27:D28"/>
    <mergeCell ref="D29:D30"/>
    <mergeCell ref="D31:D32"/>
  </mergeCells>
  <printOptions gridLines="1"/>
  <pageMargins left="0.7" right="0.7" top="0.75" bottom="0.75" header="0.3" footer="0.3"/>
  <pageSetup scale="75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6A31C-C17A-4268-B694-5D2AC9E085A2}">
  <sheetPr>
    <pageSetUpPr fitToPage="1"/>
  </sheetPr>
  <dimension ref="A1:E36"/>
  <sheetViews>
    <sheetView topLeftCell="A8" workbookViewId="0">
      <selection activeCell="B20" sqref="B20"/>
    </sheetView>
  </sheetViews>
  <sheetFormatPr defaultRowHeight="15" x14ac:dyDescent="0.25"/>
  <cols>
    <col min="1" max="1" width="10.7109375" style="45" customWidth="1"/>
    <col min="2" max="3" width="32.7109375" customWidth="1"/>
    <col min="4" max="4" width="10.7109375" style="45" customWidth="1"/>
    <col min="5" max="5" width="32.7109375" customWidth="1"/>
  </cols>
  <sheetData>
    <row r="1" spans="1:5" ht="24.95" customHeight="1" thickBot="1" x14ac:dyDescent="0.3">
      <c r="A1" s="89" t="s">
        <v>72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2" t="s">
        <v>71</v>
      </c>
      <c r="E2" s="94"/>
    </row>
    <row r="3" spans="1:5" ht="24.95" customHeight="1" thickBot="1" x14ac:dyDescent="0.3">
      <c r="A3" s="44">
        <v>1130</v>
      </c>
      <c r="B3" s="38"/>
      <c r="C3" s="38"/>
      <c r="D3" s="46">
        <v>1130</v>
      </c>
      <c r="E3" s="39"/>
    </row>
    <row r="4" spans="1:5" ht="24.95" customHeight="1" thickBot="1" x14ac:dyDescent="0.3">
      <c r="A4" s="44">
        <v>1145</v>
      </c>
      <c r="B4" s="39"/>
      <c r="C4" s="39"/>
      <c r="D4" s="46"/>
      <c r="E4" s="39"/>
    </row>
    <row r="5" spans="1:5" ht="24.95" customHeight="1" thickBot="1" x14ac:dyDescent="0.3">
      <c r="A5" s="44">
        <v>1200</v>
      </c>
      <c r="B5" s="39"/>
      <c r="C5" s="38"/>
      <c r="D5" s="46">
        <v>1200</v>
      </c>
      <c r="E5" s="39"/>
    </row>
    <row r="6" spans="1:5" ht="24.95" customHeight="1" thickBot="1" x14ac:dyDescent="0.3">
      <c r="A6" s="44">
        <v>1215</v>
      </c>
      <c r="B6" s="39"/>
      <c r="C6" s="39"/>
      <c r="D6" s="46"/>
      <c r="E6" s="39"/>
    </row>
    <row r="7" spans="1:5" ht="24.95" customHeight="1" thickBot="1" x14ac:dyDescent="0.3">
      <c r="A7" s="44">
        <v>1230</v>
      </c>
      <c r="B7" s="39"/>
      <c r="C7" s="38"/>
      <c r="D7" s="46">
        <v>1230</v>
      </c>
      <c r="E7" s="39"/>
    </row>
    <row r="8" spans="1:5" ht="24.95" customHeight="1" thickBot="1" x14ac:dyDescent="0.3">
      <c r="A8" s="44">
        <v>1245</v>
      </c>
      <c r="B8" s="39"/>
      <c r="C8" s="39"/>
      <c r="D8" s="46"/>
      <c r="E8" s="39"/>
    </row>
    <row r="9" spans="1:5" ht="24.95" customHeight="1" thickBot="1" x14ac:dyDescent="0.3">
      <c r="A9" s="44">
        <v>1300</v>
      </c>
      <c r="B9" s="39"/>
      <c r="C9" s="38"/>
      <c r="D9" s="46">
        <v>1300</v>
      </c>
      <c r="E9" s="39"/>
    </row>
    <row r="10" spans="1:5" ht="24.95" customHeight="1" thickBot="1" x14ac:dyDescent="0.3">
      <c r="A10" s="44">
        <v>1315</v>
      </c>
      <c r="B10" s="39"/>
      <c r="C10" s="38"/>
      <c r="D10" s="46"/>
      <c r="E10" s="39"/>
    </row>
    <row r="11" spans="1:5" ht="24.95" customHeight="1" thickBot="1" x14ac:dyDescent="0.3">
      <c r="A11" s="44">
        <v>1330</v>
      </c>
      <c r="B11" s="39"/>
      <c r="C11" s="38"/>
      <c r="D11" s="46">
        <v>1330</v>
      </c>
      <c r="E11" s="39"/>
    </row>
    <row r="12" spans="1:5" ht="24.95" customHeight="1" thickBot="1" x14ac:dyDescent="0.3">
      <c r="A12" s="44">
        <v>1345</v>
      </c>
      <c r="B12" s="39"/>
      <c r="C12" s="38"/>
      <c r="D12" s="46"/>
      <c r="E12" s="40"/>
    </row>
    <row r="13" spans="1:5" ht="24.95" customHeight="1" thickBot="1" x14ac:dyDescent="0.3">
      <c r="A13" s="44">
        <v>1400</v>
      </c>
      <c r="B13" s="39"/>
      <c r="C13" s="39"/>
      <c r="D13" s="46">
        <v>1400</v>
      </c>
      <c r="E13" s="39"/>
    </row>
    <row r="14" spans="1:5" ht="24.95" customHeight="1" thickBot="1" x14ac:dyDescent="0.3">
      <c r="A14" s="44">
        <v>1415</v>
      </c>
      <c r="B14" s="39"/>
      <c r="C14" s="40"/>
      <c r="D14" s="47"/>
      <c r="E14" s="38"/>
    </row>
    <row r="15" spans="1:5" ht="24.95" customHeight="1" thickBot="1" x14ac:dyDescent="0.3">
      <c r="A15" s="44">
        <v>1430</v>
      </c>
      <c r="B15" s="39"/>
      <c r="C15" s="38"/>
      <c r="D15" s="46">
        <v>1430</v>
      </c>
      <c r="E15" s="39"/>
    </row>
    <row r="16" spans="1:5" ht="24.95" customHeight="1" thickBot="1" x14ac:dyDescent="0.3">
      <c r="A16" s="44">
        <v>1445</v>
      </c>
      <c r="B16" s="39"/>
      <c r="C16" s="40"/>
      <c r="D16" s="47"/>
      <c r="E16" s="38"/>
    </row>
    <row r="17" spans="1:5" ht="24.95" customHeight="1" thickBot="1" x14ac:dyDescent="0.3">
      <c r="A17" s="44">
        <v>1500</v>
      </c>
      <c r="B17" s="39"/>
      <c r="C17" s="38"/>
      <c r="D17" s="46">
        <v>1500</v>
      </c>
      <c r="E17" s="39"/>
    </row>
    <row r="18" spans="1:5" ht="24.95" customHeight="1" thickBot="1" x14ac:dyDescent="0.3">
      <c r="A18" s="44">
        <v>1515</v>
      </c>
      <c r="B18" s="39"/>
      <c r="C18" s="40"/>
      <c r="D18" s="47"/>
      <c r="E18" s="38"/>
    </row>
    <row r="19" spans="1:5" ht="24.95" customHeight="1" thickBot="1" x14ac:dyDescent="0.3">
      <c r="A19" s="44">
        <v>1530</v>
      </c>
      <c r="B19" s="39"/>
      <c r="C19" s="38"/>
      <c r="D19" s="46">
        <v>1530</v>
      </c>
      <c r="E19" s="39"/>
    </row>
    <row r="20" spans="1:5" ht="24.95" customHeight="1" thickBot="1" x14ac:dyDescent="0.3">
      <c r="A20" s="44">
        <v>1545</v>
      </c>
      <c r="B20" s="39"/>
      <c r="C20" s="40"/>
      <c r="D20" s="47"/>
      <c r="E20" s="38"/>
    </row>
    <row r="21" spans="1:5" ht="24.95" customHeight="1" thickBot="1" x14ac:dyDescent="0.3">
      <c r="A21" s="44">
        <v>1600</v>
      </c>
      <c r="B21" s="39"/>
      <c r="C21" s="38"/>
      <c r="D21" s="46">
        <v>1600</v>
      </c>
      <c r="E21" s="39"/>
    </row>
    <row r="22" spans="1:5" ht="24.95" customHeight="1" thickBot="1" x14ac:dyDescent="0.3">
      <c r="A22" s="44">
        <v>1615</v>
      </c>
      <c r="B22" s="39"/>
      <c r="C22" s="40"/>
      <c r="D22" s="47"/>
      <c r="E22" s="38"/>
    </row>
    <row r="23" spans="1:5" ht="24.95" customHeight="1" thickBot="1" x14ac:dyDescent="0.3">
      <c r="A23" s="44">
        <v>1630</v>
      </c>
      <c r="B23" s="39"/>
      <c r="C23" s="38"/>
      <c r="D23" s="46">
        <v>1630</v>
      </c>
      <c r="E23" s="39"/>
    </row>
    <row r="24" spans="1:5" ht="24.95" customHeight="1" thickBot="1" x14ac:dyDescent="0.3">
      <c r="A24" s="44">
        <v>1645</v>
      </c>
      <c r="B24" s="39"/>
      <c r="C24" s="40"/>
      <c r="D24" s="47"/>
      <c r="E24" s="38"/>
    </row>
    <row r="25" spans="1:5" ht="24.95" customHeight="1" thickBot="1" x14ac:dyDescent="0.3">
      <c r="A25" s="44">
        <v>1700</v>
      </c>
      <c r="B25" s="39"/>
      <c r="C25" s="38"/>
      <c r="D25" s="46">
        <v>1700</v>
      </c>
      <c r="E25" s="39"/>
    </row>
    <row r="26" spans="1:5" ht="24.95" customHeight="1" thickBot="1" x14ac:dyDescent="0.3">
      <c r="A26" s="44">
        <v>1715</v>
      </c>
      <c r="B26" s="39"/>
      <c r="C26" s="38"/>
      <c r="D26" s="47"/>
      <c r="E26" s="38"/>
    </row>
    <row r="27" spans="1:5" ht="24.95" customHeight="1" thickBot="1" x14ac:dyDescent="0.3">
      <c r="A27" s="44">
        <v>1730</v>
      </c>
      <c r="B27" s="39"/>
      <c r="C27" s="38"/>
      <c r="D27" s="46">
        <v>1730</v>
      </c>
      <c r="E27" s="39"/>
    </row>
    <row r="28" spans="1:5" ht="24.95" customHeight="1" thickBot="1" x14ac:dyDescent="0.3">
      <c r="A28" s="44">
        <v>1745</v>
      </c>
      <c r="B28" s="39"/>
      <c r="C28" s="40"/>
      <c r="D28" s="46"/>
      <c r="E28" s="39"/>
    </row>
    <row r="29" spans="1:5" ht="24.95" customHeight="1" thickBot="1" x14ac:dyDescent="0.3">
      <c r="A29" s="44">
        <v>1800</v>
      </c>
      <c r="B29" s="39"/>
      <c r="C29" s="38"/>
      <c r="D29" s="46">
        <v>1800</v>
      </c>
      <c r="E29" s="39"/>
    </row>
    <row r="30" spans="1:5" ht="24.95" customHeight="1" thickBot="1" x14ac:dyDescent="0.3">
      <c r="A30" s="44">
        <v>1815</v>
      </c>
      <c r="B30" s="39"/>
      <c r="C30" s="39"/>
      <c r="D30" s="46"/>
      <c r="E30" s="39"/>
    </row>
    <row r="31" spans="1:5" ht="24.95" customHeight="1" thickBot="1" x14ac:dyDescent="0.3">
      <c r="A31" s="44">
        <v>1830</v>
      </c>
      <c r="B31" s="39"/>
      <c r="C31" s="39"/>
      <c r="D31" s="46">
        <v>1830</v>
      </c>
      <c r="E31" s="39"/>
    </row>
    <row r="32" spans="1:5" ht="24.95" customHeight="1" thickBot="1" x14ac:dyDescent="0.3">
      <c r="A32" s="44">
        <v>1845</v>
      </c>
      <c r="B32" s="39"/>
      <c r="C32" s="40"/>
      <c r="D32" s="46"/>
      <c r="E32" s="39"/>
    </row>
    <row r="33" spans="1:5" ht="24.95" customHeight="1" thickBot="1" x14ac:dyDescent="0.3">
      <c r="A33" s="44">
        <v>1900</v>
      </c>
      <c r="B33" s="39"/>
      <c r="C33" s="38"/>
      <c r="D33" s="46">
        <v>1900</v>
      </c>
      <c r="E33" s="39"/>
    </row>
    <row r="34" spans="1:5" ht="24.95" customHeight="1" thickBot="1" x14ac:dyDescent="0.3">
      <c r="A34" s="44">
        <v>1915</v>
      </c>
      <c r="B34" s="39"/>
      <c r="C34" s="39"/>
      <c r="D34" s="46"/>
      <c r="E34" s="39"/>
    </row>
    <row r="35" spans="1:5" ht="24.95" customHeight="1" thickBot="1" x14ac:dyDescent="0.3">
      <c r="A35" s="44">
        <v>1930</v>
      </c>
      <c r="B35" s="39"/>
      <c r="C35" s="38"/>
      <c r="D35" s="46">
        <v>1930</v>
      </c>
      <c r="E35" s="39"/>
    </row>
    <row r="36" spans="1:5" ht="24.95" customHeight="1" thickBot="1" x14ac:dyDescent="0.3">
      <c r="A36" s="44">
        <v>1945</v>
      </c>
      <c r="B36" s="39"/>
      <c r="C36" s="40"/>
      <c r="D36" s="46"/>
      <c r="E36" s="39"/>
    </row>
  </sheetData>
  <mergeCells count="3">
    <mergeCell ref="A1:E1"/>
    <mergeCell ref="A2:C2"/>
    <mergeCell ref="D2:E2"/>
  </mergeCells>
  <pageMargins left="0.7" right="0.7" top="0.75" bottom="0.75" header="0.3" footer="0.3"/>
  <pageSetup scale="75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5564E-0754-4FE4-963E-D8BBF45C72CE}">
  <sheetPr>
    <pageSetUpPr fitToPage="1"/>
  </sheetPr>
  <dimension ref="A1:E36"/>
  <sheetViews>
    <sheetView zoomScale="90" zoomScaleNormal="90" workbookViewId="0">
      <selection activeCell="B20" sqref="B20"/>
    </sheetView>
  </sheetViews>
  <sheetFormatPr defaultRowHeight="15" x14ac:dyDescent="0.25"/>
  <cols>
    <col min="1" max="1" width="10.7109375" style="43" customWidth="1"/>
    <col min="2" max="3" width="32.7109375" customWidth="1"/>
    <col min="4" max="4" width="10.7109375" style="43" customWidth="1"/>
    <col min="5" max="5" width="32.7109375" customWidth="1"/>
  </cols>
  <sheetData>
    <row r="1" spans="1:5" ht="24.95" customHeight="1" thickBot="1" x14ac:dyDescent="0.3">
      <c r="A1" s="89" t="s">
        <v>73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2" t="s">
        <v>71</v>
      </c>
      <c r="E2" s="94"/>
    </row>
    <row r="3" spans="1:5" ht="24.95" customHeight="1" thickBot="1" x14ac:dyDescent="0.3">
      <c r="A3" s="42">
        <v>2000</v>
      </c>
      <c r="B3" s="39"/>
      <c r="C3" s="38"/>
      <c r="D3" s="48">
        <v>2000</v>
      </c>
      <c r="E3" s="39"/>
    </row>
    <row r="4" spans="1:5" ht="24.95" customHeight="1" thickBot="1" x14ac:dyDescent="0.3">
      <c r="A4" s="42">
        <v>2015</v>
      </c>
      <c r="B4" s="39"/>
      <c r="C4" s="40"/>
      <c r="D4" s="49"/>
      <c r="E4" s="38"/>
    </row>
    <row r="5" spans="1:5" ht="24.95" customHeight="1" thickBot="1" x14ac:dyDescent="0.3">
      <c r="A5" s="42">
        <v>2030</v>
      </c>
      <c r="B5" s="39"/>
      <c r="C5" s="38"/>
      <c r="D5" s="48">
        <v>2030</v>
      </c>
      <c r="E5" s="39"/>
    </row>
    <row r="6" spans="1:5" ht="24.95" customHeight="1" thickBot="1" x14ac:dyDescent="0.3">
      <c r="A6" s="42">
        <v>2045</v>
      </c>
      <c r="B6" s="40"/>
      <c r="C6" s="40"/>
      <c r="D6" s="49"/>
      <c r="E6" s="38"/>
    </row>
    <row r="7" spans="1:5" ht="24.95" customHeight="1" thickBot="1" x14ac:dyDescent="0.3">
      <c r="A7" s="42">
        <v>2100</v>
      </c>
      <c r="B7" s="38"/>
      <c r="C7" s="38"/>
      <c r="D7" s="48">
        <v>2100</v>
      </c>
      <c r="E7" s="39"/>
    </row>
    <row r="8" spans="1:5" ht="24.95" customHeight="1" thickBot="1" x14ac:dyDescent="0.3">
      <c r="A8" s="42">
        <v>2115</v>
      </c>
      <c r="B8" s="39"/>
      <c r="C8" s="38"/>
      <c r="D8" s="49"/>
      <c r="E8" s="38"/>
    </row>
    <row r="9" spans="1:5" ht="24.95" customHeight="1" thickBot="1" x14ac:dyDescent="0.3">
      <c r="A9" s="42">
        <v>2130</v>
      </c>
      <c r="B9" s="39"/>
      <c r="C9" s="39"/>
      <c r="D9" s="48">
        <v>2130</v>
      </c>
      <c r="E9" s="40"/>
    </row>
    <row r="10" spans="1:5" ht="24.95" customHeight="1" thickBot="1" x14ac:dyDescent="0.3">
      <c r="A10" s="42">
        <v>2145</v>
      </c>
      <c r="B10" s="39"/>
      <c r="C10" s="38"/>
      <c r="D10" s="48"/>
      <c r="E10" s="40"/>
    </row>
    <row r="11" spans="1:5" ht="24.95" customHeight="1" thickBot="1" x14ac:dyDescent="0.3">
      <c r="A11" s="42">
        <v>2200</v>
      </c>
      <c r="B11" s="39"/>
      <c r="C11" s="39"/>
      <c r="D11" s="48">
        <v>2200</v>
      </c>
      <c r="E11" s="40"/>
    </row>
    <row r="12" spans="1:5" ht="24.95" customHeight="1" thickBot="1" x14ac:dyDescent="0.3">
      <c r="A12" s="42">
        <v>2215</v>
      </c>
      <c r="B12" s="39"/>
      <c r="C12" s="38"/>
      <c r="D12" s="48"/>
      <c r="E12" s="40"/>
    </row>
    <row r="13" spans="1:5" ht="24.95" customHeight="1" thickBot="1" x14ac:dyDescent="0.3">
      <c r="A13" s="42">
        <v>2230</v>
      </c>
      <c r="B13" s="39"/>
      <c r="C13" s="39"/>
      <c r="D13" s="48">
        <v>2230</v>
      </c>
      <c r="E13" s="40"/>
    </row>
    <row r="14" spans="1:5" ht="24.95" customHeight="1" thickBot="1" x14ac:dyDescent="0.3">
      <c r="A14" s="42">
        <v>2245</v>
      </c>
      <c r="B14" s="39"/>
      <c r="C14" s="38"/>
      <c r="D14" s="48"/>
      <c r="E14" s="40"/>
    </row>
    <row r="15" spans="1:5" ht="24.95" customHeight="1" thickBot="1" x14ac:dyDescent="0.3">
      <c r="A15" s="42">
        <v>2300</v>
      </c>
      <c r="B15" s="39"/>
      <c r="C15" s="39"/>
      <c r="D15" s="48">
        <v>2300</v>
      </c>
      <c r="E15" s="40"/>
    </row>
    <row r="16" spans="1:5" ht="24.95" customHeight="1" thickBot="1" x14ac:dyDescent="0.3">
      <c r="A16" s="42">
        <v>2315</v>
      </c>
      <c r="B16" s="39"/>
      <c r="C16" s="38"/>
      <c r="D16" s="48"/>
      <c r="E16" s="40"/>
    </row>
    <row r="17" spans="1:5" ht="24.95" customHeight="1" thickBot="1" x14ac:dyDescent="0.3">
      <c r="A17" s="42">
        <v>2330</v>
      </c>
      <c r="B17" s="39"/>
      <c r="C17" s="39"/>
      <c r="D17" s="48">
        <v>2330</v>
      </c>
      <c r="E17" s="40"/>
    </row>
    <row r="18" spans="1:5" ht="24.95" customHeight="1" thickBot="1" x14ac:dyDescent="0.3">
      <c r="A18" s="42">
        <v>2345</v>
      </c>
      <c r="B18" s="39"/>
      <c r="C18" s="38"/>
      <c r="D18" s="48"/>
      <c r="E18" s="40"/>
    </row>
    <row r="19" spans="1:5" ht="24.95" customHeight="1" thickBot="1" x14ac:dyDescent="0.3">
      <c r="A19" s="42" t="s">
        <v>115</v>
      </c>
      <c r="B19" s="39"/>
      <c r="C19" s="39"/>
      <c r="D19" s="48" t="s">
        <v>115</v>
      </c>
      <c r="E19" s="40"/>
    </row>
    <row r="20" spans="1:5" ht="24.95" customHeight="1" thickBot="1" x14ac:dyDescent="0.3">
      <c r="A20" s="42" t="s">
        <v>121</v>
      </c>
      <c r="B20" s="39"/>
      <c r="C20" s="39"/>
      <c r="D20" s="49"/>
      <c r="E20" s="38"/>
    </row>
    <row r="21" spans="1:5" ht="24.95" customHeight="1" thickBot="1" x14ac:dyDescent="0.3">
      <c r="A21" s="42" t="s">
        <v>116</v>
      </c>
      <c r="B21" s="39"/>
      <c r="C21" s="38"/>
      <c r="D21" s="48" t="s">
        <v>116</v>
      </c>
      <c r="E21" s="40"/>
    </row>
    <row r="22" spans="1:5" ht="24.95" customHeight="1" thickBot="1" x14ac:dyDescent="0.3">
      <c r="A22" s="42" t="s">
        <v>122</v>
      </c>
      <c r="B22" s="39"/>
      <c r="C22" s="40"/>
      <c r="D22" s="49"/>
      <c r="E22" s="39"/>
    </row>
    <row r="23" spans="1:5" ht="24.95" customHeight="1" thickBot="1" x14ac:dyDescent="0.3">
      <c r="A23" s="42" t="s">
        <v>117</v>
      </c>
      <c r="B23" s="39"/>
      <c r="C23" s="38"/>
      <c r="D23" s="48" t="s">
        <v>117</v>
      </c>
      <c r="E23" s="40"/>
    </row>
    <row r="24" spans="1:5" ht="24.95" customHeight="1" thickBot="1" x14ac:dyDescent="0.3">
      <c r="A24" s="42" t="s">
        <v>123</v>
      </c>
      <c r="B24" s="39"/>
      <c r="C24" s="40"/>
      <c r="D24" s="71"/>
      <c r="E24" s="70"/>
    </row>
    <row r="25" spans="1:5" ht="24.95" customHeight="1" thickBot="1" x14ac:dyDescent="0.3">
      <c r="A25" s="42" t="s">
        <v>118</v>
      </c>
      <c r="B25" s="39"/>
      <c r="C25" s="39"/>
      <c r="D25" s="48" t="s">
        <v>118</v>
      </c>
      <c r="E25" s="70"/>
    </row>
    <row r="26" spans="1:5" ht="24.95" customHeight="1" thickBot="1" x14ac:dyDescent="0.3">
      <c r="A26" s="42" t="s">
        <v>124</v>
      </c>
      <c r="B26" s="39"/>
      <c r="C26" s="40"/>
      <c r="D26" s="71"/>
      <c r="E26" s="70"/>
    </row>
    <row r="27" spans="1:5" ht="24.95" customHeight="1" thickBot="1" x14ac:dyDescent="0.3">
      <c r="A27" s="42" t="s">
        <v>119</v>
      </c>
      <c r="B27" s="39"/>
      <c r="C27" s="38"/>
      <c r="D27" s="48" t="s">
        <v>119</v>
      </c>
      <c r="E27" s="39"/>
    </row>
    <row r="28" spans="1:5" ht="24.95" customHeight="1" thickBot="1" x14ac:dyDescent="0.3">
      <c r="A28" s="42" t="s">
        <v>125</v>
      </c>
      <c r="B28" s="39"/>
      <c r="C28" s="39"/>
      <c r="D28" s="71"/>
      <c r="E28" s="70"/>
    </row>
    <row r="29" spans="1:5" ht="24.95" customHeight="1" thickBot="1" x14ac:dyDescent="0.3">
      <c r="A29" s="42" t="s">
        <v>120</v>
      </c>
      <c r="B29" s="39"/>
      <c r="C29" s="38"/>
      <c r="D29" s="48" t="s">
        <v>120</v>
      </c>
      <c r="E29" s="39"/>
    </row>
    <row r="30" spans="1:5" ht="24.95" customHeight="1" thickBot="1" x14ac:dyDescent="0.3">
      <c r="A30" s="42" t="s">
        <v>126</v>
      </c>
      <c r="B30" s="39"/>
      <c r="C30" s="70"/>
      <c r="D30" s="71"/>
      <c r="E30" s="39"/>
    </row>
    <row r="31" spans="1:5" x14ac:dyDescent="0.25">
      <c r="A31" s="99" t="s">
        <v>74</v>
      </c>
      <c r="B31" s="99"/>
      <c r="C31" s="99"/>
      <c r="D31" s="99"/>
      <c r="E31" s="99"/>
    </row>
    <row r="32" spans="1:5" x14ac:dyDescent="0.25">
      <c r="A32" s="98" t="s">
        <v>75</v>
      </c>
      <c r="B32" s="98"/>
      <c r="C32" s="98"/>
      <c r="D32" s="98"/>
      <c r="E32" s="98"/>
    </row>
    <row r="33" spans="1:5" x14ac:dyDescent="0.25">
      <c r="A33" s="98" t="s">
        <v>76</v>
      </c>
      <c r="B33" s="98"/>
      <c r="C33" s="98"/>
      <c r="D33" s="98"/>
      <c r="E33" s="98"/>
    </row>
    <row r="34" spans="1:5" ht="30" customHeight="1" x14ac:dyDescent="0.25">
      <c r="A34" s="97" t="s">
        <v>77</v>
      </c>
      <c r="B34" s="97"/>
      <c r="C34" s="97"/>
      <c r="D34" s="97"/>
      <c r="E34" s="97"/>
    </row>
    <row r="35" spans="1:5" x14ac:dyDescent="0.25">
      <c r="A35" s="98" t="s">
        <v>78</v>
      </c>
      <c r="B35" s="98"/>
      <c r="C35" s="98"/>
      <c r="D35" s="98"/>
      <c r="E35" s="98"/>
    </row>
    <row r="36" spans="1:5" x14ac:dyDescent="0.25">
      <c r="A36" s="98" t="s">
        <v>79</v>
      </c>
      <c r="B36" s="98"/>
      <c r="C36" s="98"/>
      <c r="D36" s="98"/>
      <c r="E36" s="98"/>
    </row>
  </sheetData>
  <mergeCells count="9">
    <mergeCell ref="A34:E34"/>
    <mergeCell ref="A35:E35"/>
    <mergeCell ref="A36:E36"/>
    <mergeCell ref="A1:E1"/>
    <mergeCell ref="A2:C2"/>
    <mergeCell ref="D2:E2"/>
    <mergeCell ref="A31:E31"/>
    <mergeCell ref="A32:E32"/>
    <mergeCell ref="A33:E33"/>
  </mergeCells>
  <pageMargins left="0.7" right="0.7" top="0.75" bottom="0.75" header="0.3" footer="0.3"/>
  <pageSetup scale="75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I999"/>
  <sheetViews>
    <sheetView view="pageLayout" zoomScaleNormal="100" workbookViewId="0"/>
  </sheetViews>
  <sheetFormatPr defaultColWidth="14.42578125" defaultRowHeight="15" customHeight="1" x14ac:dyDescent="0.2"/>
  <cols>
    <col min="1" max="8" width="12.85546875" style="57" customWidth="1"/>
    <col min="9" max="9" width="8.7109375" style="57" customWidth="1"/>
    <col min="10" max="16384" width="14.42578125" style="57"/>
  </cols>
  <sheetData>
    <row r="1" spans="1:9" x14ac:dyDescent="0.2">
      <c r="A1" s="1" t="s">
        <v>48</v>
      </c>
      <c r="B1" s="1" t="s">
        <v>63</v>
      </c>
      <c r="C1" s="1" t="s">
        <v>2</v>
      </c>
      <c r="D1" s="1" t="s">
        <v>3</v>
      </c>
      <c r="E1" s="1" t="s">
        <v>56</v>
      </c>
      <c r="F1" s="1" t="s">
        <v>4</v>
      </c>
      <c r="G1" s="11" t="s">
        <v>5</v>
      </c>
      <c r="H1" s="12" t="s">
        <v>6</v>
      </c>
    </row>
    <row r="2" spans="1:9" ht="14.25" x14ac:dyDescent="0.2">
      <c r="A2" s="10" t="s">
        <v>7</v>
      </c>
      <c r="B2" s="82" t="str">
        <f>IF('2026'!B99&lt;&gt;"", '2026'!B99, "")</f>
        <v/>
      </c>
      <c r="C2" s="82" t="str">
        <f>IF('2026'!C99&lt;&gt;"", '2026'!C99, "")</f>
        <v/>
      </c>
      <c r="D2" s="82" t="str">
        <f>IF('2026'!D99&lt;&gt;"", '2026'!D99, "")</f>
        <v>FLEN/NORI</v>
      </c>
      <c r="E2" s="82" t="str">
        <f>IF('2026'!E99&lt;&gt;"", '2026'!E99, "")</f>
        <v/>
      </c>
      <c r="F2" s="82" t="str">
        <f>IF('2026'!F99&lt;&gt;"", '2026'!F99, "")</f>
        <v>SCOT</v>
      </c>
      <c r="G2" s="83" t="str">
        <f>IF('2026'!G99&lt;&gt;"", '2026'!G99, "")</f>
        <v/>
      </c>
      <c r="H2" s="82" t="str">
        <f>IF('2026'!H99&lt;&gt;"", '2026'!H99, "")</f>
        <v/>
      </c>
    </row>
    <row r="3" spans="1:9" ht="14.25" x14ac:dyDescent="0.2">
      <c r="A3" s="10" t="s">
        <v>8</v>
      </c>
      <c r="B3" s="82" t="str">
        <f>IF('2026'!B100&lt;&gt;"", '2026'!B100, "")</f>
        <v/>
      </c>
      <c r="C3" s="82" t="str">
        <f>IF('2026'!C100&lt;&gt;"", '2026'!C100, "")</f>
        <v/>
      </c>
      <c r="D3" s="82" t="str">
        <f>IF('2026'!D100&lt;&gt;"", '2026'!D100, "")</f>
        <v/>
      </c>
      <c r="E3" s="82" t="str">
        <f>IF('2026'!E100&lt;&gt;"", '2026'!E100, "")</f>
        <v/>
      </c>
      <c r="F3" s="82" t="str">
        <f>IF('2026'!F100&lt;&gt;"", '2026'!F100, "")</f>
        <v/>
      </c>
      <c r="G3" s="83" t="str">
        <f>IF('2026'!G100&lt;&gt;"", '2026'!G100, "")</f>
        <v/>
      </c>
      <c r="H3" s="82" t="str">
        <f>IF('2026'!H100&lt;&gt;"", '2026'!H100, "")</f>
        <v>FLEN/NORI</v>
      </c>
    </row>
    <row r="4" spans="1:9" ht="14.25" x14ac:dyDescent="0.2">
      <c r="A4" s="10" t="s">
        <v>9</v>
      </c>
      <c r="B4" s="82" t="str">
        <f>IF('2026'!B101&lt;&gt;"", '2026'!B101, "")</f>
        <v/>
      </c>
      <c r="C4" s="82" t="str">
        <f>IF('2026'!C101&lt;&gt;"", '2026'!C101, "")</f>
        <v/>
      </c>
      <c r="D4" s="82" t="str">
        <f>IF('2026'!D101&lt;&gt;"", '2026'!D101, "")</f>
        <v/>
      </c>
      <c r="E4" s="82" t="str">
        <f>IF('2026'!E101&lt;&gt;"", '2026'!E101, "")</f>
        <v>KELL</v>
      </c>
      <c r="F4" s="82" t="str">
        <f>IF('2026'!F101&lt;&gt;"", '2026'!F101, "")</f>
        <v/>
      </c>
      <c r="G4" s="83" t="str">
        <f>IF('2026'!G101&lt;&gt;"", '2026'!G101, "")</f>
        <v/>
      </c>
      <c r="H4" s="82" t="str">
        <f>IF('2026'!H101&lt;&gt;"", '2026'!H101, "")</f>
        <v>FLEN/NORI</v>
      </c>
    </row>
    <row r="5" spans="1:9" ht="14.25" x14ac:dyDescent="0.2">
      <c r="A5" s="10" t="s">
        <v>10</v>
      </c>
      <c r="B5" s="82" t="str">
        <f>IF('2026'!B102&lt;&gt;"", '2026'!B102, "")</f>
        <v/>
      </c>
      <c r="C5" s="82" t="str">
        <f>IF('2026'!C102&lt;&gt;"", '2026'!C102, "")</f>
        <v>KELL</v>
      </c>
      <c r="D5" s="82" t="str">
        <f>IF('2026'!D102&lt;&gt;"", '2026'!D102, "")</f>
        <v/>
      </c>
      <c r="E5" s="82" t="str">
        <f>IF('2026'!E102&lt;&gt;"", '2026'!E102, "")</f>
        <v/>
      </c>
      <c r="F5" s="82" t="str">
        <f>IF('2026'!F102&lt;&gt;"", '2026'!F102, "")</f>
        <v/>
      </c>
      <c r="G5" s="83" t="str">
        <f>IF('2026'!G102&lt;&gt;"", '2026'!G102, "")</f>
        <v/>
      </c>
      <c r="H5" s="82" t="str">
        <f>IF('2026'!H102&lt;&gt;"", '2026'!H102, "")</f>
        <v>FLEN/NORI</v>
      </c>
    </row>
    <row r="6" spans="1:9" ht="14.25" x14ac:dyDescent="0.2">
      <c r="A6" s="10" t="s">
        <v>11</v>
      </c>
      <c r="B6" s="82" t="str">
        <f>IF('2026'!B103&lt;&gt;"", '2026'!B103, "")</f>
        <v/>
      </c>
      <c r="C6" s="82" t="str">
        <f>IF('2026'!C103&lt;&gt;"", '2026'!C103, "")</f>
        <v/>
      </c>
      <c r="D6" s="82" t="str">
        <f>IF('2026'!D103&lt;&gt;"", '2026'!D103, "")</f>
        <v/>
      </c>
      <c r="E6" s="82" t="str">
        <f>IF('2026'!E103&lt;&gt;"", '2026'!E103, "")</f>
        <v/>
      </c>
      <c r="F6" s="82" t="str">
        <f>IF('2026'!F103&lt;&gt;"", '2026'!F103, "")</f>
        <v/>
      </c>
      <c r="G6" s="83" t="str">
        <f>IF('2026'!G103&lt;&gt;"", '2026'!G103, "")</f>
        <v/>
      </c>
      <c r="H6" s="82" t="str">
        <f>IF('2026'!H103&lt;&gt;"", '2026'!H103, "")</f>
        <v/>
      </c>
    </row>
    <row r="7" spans="1:9" ht="14.25" x14ac:dyDescent="0.2">
      <c r="A7" s="10" t="s">
        <v>12</v>
      </c>
      <c r="B7" s="82" t="str">
        <f>IF('2026'!B104&lt;&gt;"", '2026'!B104, "")</f>
        <v/>
      </c>
      <c r="C7" s="82" t="str">
        <f>IF('2026'!C104&lt;&gt;"", '2026'!C104, "")</f>
        <v>DUKE</v>
      </c>
      <c r="D7" s="82" t="str">
        <f>IF('2026'!D104&lt;&gt;"", '2026'!D104, "")</f>
        <v/>
      </c>
      <c r="E7" s="82" t="str">
        <f>IF('2026'!E104&lt;&gt;"", '2026'!E104, "")</f>
        <v/>
      </c>
      <c r="F7" s="82" t="str">
        <f>IF('2026'!F104&lt;&gt;"", '2026'!F104, "")</f>
        <v/>
      </c>
      <c r="G7" s="83" t="str">
        <f>IF('2026'!G104&lt;&gt;"", '2026'!G104, "")</f>
        <v/>
      </c>
      <c r="H7" s="82" t="str">
        <f>IF('2026'!H104&lt;&gt;"", '2026'!H104, "")</f>
        <v/>
      </c>
    </row>
    <row r="8" spans="1:9" ht="14.25" x14ac:dyDescent="0.2">
      <c r="A8" s="10" t="s">
        <v>13</v>
      </c>
      <c r="B8" s="82" t="str">
        <f>IF('2026'!B105&lt;&gt;"", '2026'!B105, "")</f>
        <v/>
      </c>
      <c r="C8" s="82" t="str">
        <f>IF('2026'!C105&lt;&gt;"", '2026'!C105, "")</f>
        <v>AWIL</v>
      </c>
      <c r="D8" s="82" t="str">
        <f>IF('2026'!D105&lt;&gt;"", '2026'!D105, "")</f>
        <v/>
      </c>
      <c r="E8" s="82" t="str">
        <f>IF('2026'!E105&lt;&gt;"", '2026'!E105, "")</f>
        <v/>
      </c>
      <c r="F8" s="82" t="str">
        <f>IF('2026'!F105&lt;&gt;"", '2026'!F105, "")</f>
        <v/>
      </c>
      <c r="G8" s="82" t="str">
        <f>IF('2026'!G105&lt;&gt;"", '2026'!G105, "")</f>
        <v/>
      </c>
      <c r="H8" s="82" t="str">
        <f>IF('2026'!H105&lt;&gt;"", '2026'!H105, "")</f>
        <v/>
      </c>
    </row>
    <row r="9" spans="1:9" ht="14.25" x14ac:dyDescent="0.2">
      <c r="A9" s="10" t="s">
        <v>14</v>
      </c>
      <c r="B9" s="82" t="str">
        <f>IF('2026'!B106&lt;&gt;"", '2026'!B106, "")</f>
        <v/>
      </c>
      <c r="C9" s="82" t="str">
        <f>IF('2026'!C106&lt;&gt;"", '2026'!C106, "")</f>
        <v/>
      </c>
      <c r="D9" s="82" t="str">
        <f>IF('2026'!D106&lt;&gt;"", '2026'!D106, "")</f>
        <v/>
      </c>
      <c r="E9" s="82" t="str">
        <f>IF('2026'!E106&lt;&gt;"", '2026'!E106, "")</f>
        <v/>
      </c>
      <c r="F9" s="82" t="str">
        <f>IF('2026'!F106&lt;&gt;"", '2026'!F106, "")</f>
        <v/>
      </c>
      <c r="G9" s="82" t="str">
        <f>IF('2026'!G106&lt;&gt;"", '2026'!G106, "")</f>
        <v/>
      </c>
      <c r="H9" s="82" t="str">
        <f>IF('2026'!H106&lt;&gt;"", '2026'!H106, "")</f>
        <v>WATS</v>
      </c>
    </row>
    <row r="10" spans="1:9" ht="14.25" x14ac:dyDescent="0.2">
      <c r="A10" s="10" t="s">
        <v>15</v>
      </c>
      <c r="B10" s="82" t="str">
        <f>IF('2026'!B107&lt;&gt;"", '2026'!B107, "")</f>
        <v/>
      </c>
      <c r="C10" s="82" t="str">
        <f>IF('2026'!C107&lt;&gt;"", '2026'!C107, "")</f>
        <v/>
      </c>
      <c r="D10" s="82" t="str">
        <f>IF('2026'!D107&lt;&gt;"", '2026'!D107, "")</f>
        <v/>
      </c>
      <c r="E10" s="82" t="str">
        <f>IF('2026'!E107&lt;&gt;"", '2026'!E107, "")</f>
        <v/>
      </c>
      <c r="F10" s="82" t="str">
        <f>IF('2026'!F107&lt;&gt;"", '2026'!F107, "")</f>
        <v/>
      </c>
      <c r="G10" s="82" t="str">
        <f>IF('2026'!G107&lt;&gt;"", '2026'!G107, "")</f>
        <v/>
      </c>
      <c r="H10" s="82" t="str">
        <f>IF('2026'!H107&lt;&gt;"", '2026'!H107, "")</f>
        <v/>
      </c>
    </row>
    <row r="11" spans="1:9" ht="14.25" x14ac:dyDescent="0.2">
      <c r="A11" s="10" t="s">
        <v>16</v>
      </c>
      <c r="B11" s="82" t="str">
        <f>IF('2026'!B108&lt;&gt;"", '2026'!B108, "")</f>
        <v/>
      </c>
      <c r="C11" s="82" t="str">
        <f>IF('2026'!C108&lt;&gt;"", '2026'!C108, "")</f>
        <v/>
      </c>
      <c r="D11" s="82" t="str">
        <f>IF('2026'!D108&lt;&gt;"", '2026'!D108, "")</f>
        <v/>
      </c>
      <c r="E11" s="82" t="str">
        <f>IF('2026'!E108&lt;&gt;"", '2026'!E108, "")</f>
        <v/>
      </c>
      <c r="F11" s="82" t="str">
        <f>IF('2026'!F108&lt;&gt;"", '2026'!F108, "")</f>
        <v>JLEA/WATS</v>
      </c>
      <c r="G11" s="82" t="str">
        <f>IF('2026'!G108&lt;&gt;"", '2026'!G108, "")</f>
        <v/>
      </c>
      <c r="H11" s="82" t="str">
        <f>IF('2026'!H108&lt;&gt;"", '2026'!H108, "")</f>
        <v/>
      </c>
    </row>
    <row r="12" spans="1:9" ht="14.25" x14ac:dyDescent="0.2">
      <c r="A12" s="10" t="s">
        <v>17</v>
      </c>
      <c r="B12" s="82" t="str">
        <f>IF('2026'!B109&lt;&gt;"", '2026'!B109, "")</f>
        <v/>
      </c>
      <c r="C12" s="82" t="str">
        <f>IF('2026'!C109&lt;&gt;"", '2026'!C109, "")</f>
        <v/>
      </c>
      <c r="D12" s="82" t="str">
        <f>IF('2026'!D109&lt;&gt;"", '2026'!D109, "")</f>
        <v/>
      </c>
      <c r="E12" s="82" t="str">
        <f>IF('2026'!E109&lt;&gt;"", '2026'!E109, "")</f>
        <v/>
      </c>
      <c r="F12" s="82" t="str">
        <f>IF('2026'!F109&lt;&gt;"", '2026'!F109, "")</f>
        <v/>
      </c>
      <c r="G12" s="82" t="str">
        <f>IF('2026'!G109&lt;&gt;"", '2026'!G109, "")</f>
        <v/>
      </c>
      <c r="H12" s="82" t="str">
        <f>IF('2026'!H109&lt;&gt;"", '2026'!H109, "")</f>
        <v/>
      </c>
    </row>
    <row r="13" spans="1:9" ht="14.25" x14ac:dyDescent="0.2">
      <c r="A13" s="10" t="s">
        <v>18</v>
      </c>
      <c r="B13" s="82" t="str">
        <f>IF('2026'!B110&lt;&gt;"", '2026'!B110, "")</f>
        <v/>
      </c>
      <c r="C13" s="82" t="str">
        <f>IF('2026'!C110&lt;&gt;"", '2026'!C110, "")</f>
        <v/>
      </c>
      <c r="D13" s="82" t="str">
        <f>IF('2026'!D110&lt;&gt;"", '2026'!D110, "")</f>
        <v/>
      </c>
      <c r="E13" s="82" t="str">
        <f>IF('2026'!E110&lt;&gt;"", '2026'!E110, "")</f>
        <v/>
      </c>
      <c r="F13" s="82" t="str">
        <f>IF('2026'!F110&lt;&gt;"", '2026'!F110, "")</f>
        <v/>
      </c>
      <c r="G13" s="82" t="str">
        <f>IF('2026'!G110&lt;&gt;"", '2026'!G110, "")</f>
        <v/>
      </c>
      <c r="H13" s="82" t="str">
        <f>IF('2026'!H110&lt;&gt;"", '2026'!H110, "")</f>
        <v/>
      </c>
    </row>
    <row r="14" spans="1:9" ht="13.5" customHeight="1" x14ac:dyDescent="0.2">
      <c r="A14" s="52" t="s">
        <v>20</v>
      </c>
      <c r="B14" s="52" t="s">
        <v>21</v>
      </c>
      <c r="C14" s="52" t="s">
        <v>22</v>
      </c>
      <c r="D14" s="53" t="s">
        <v>19</v>
      </c>
      <c r="E14" s="52" t="s">
        <v>24</v>
      </c>
      <c r="F14" s="61"/>
      <c r="G14" s="61"/>
      <c r="H14" s="61"/>
    </row>
    <row r="15" spans="1:9" ht="13.5" customHeight="1" x14ac:dyDescent="0.2">
      <c r="A15" s="55" t="str" cm="1">
        <f t="array" ref="A15">IFERROR(INDEX(A_SHIFT_ESDS,1),"")</f>
        <v>Lydia Valdez</v>
      </c>
      <c r="B15" s="54" t="str" cm="1">
        <f t="array" ref="B15">IFERROR(INDEX(B_SHIFT_ESDS,1),"")</f>
        <v>Tania Keller</v>
      </c>
      <c r="C15" s="54" t="str" cm="1">
        <f t="array" ref="C15">IFERROR(INDEX(C_SHIFT_ESDS,1),"")</f>
        <v>Allison Carter</v>
      </c>
      <c r="D15" s="54" t="str" cm="1">
        <f t="array" ref="D15">IFERROR(INDEX(E_SHIFT_ESDS,1),"")</f>
        <v>Jessica Leatherwood</v>
      </c>
      <c r="E15" s="54" t="str" cm="1">
        <f t="array" ref="E15">IFERROR(INDEX(F_SHIFT_ESDS,1),"")</f>
        <v>Susan Miller</v>
      </c>
      <c r="F15" s="61"/>
      <c r="G15" s="62"/>
      <c r="I15" s="63"/>
    </row>
    <row r="16" spans="1:9" ht="13.5" customHeight="1" x14ac:dyDescent="0.2">
      <c r="A16" s="55" t="str" cm="1">
        <f t="array" ref="A16">IFERROR(INDEX(A_SHIFT_ESDS,2),"")</f>
        <v>Cheri Smith</v>
      </c>
      <c r="B16" s="54" t="str" cm="1">
        <f t="array" ref="B16">IFERROR(INDEX(B_SHIFT_ESDS,2),"")</f>
        <v>Suzette Schlundt</v>
      </c>
      <c r="C16" s="54" t="str" cm="1">
        <f t="array" ref="C16">IFERROR(INDEX(C_SHIFT_ESDS,2),"")</f>
        <v>Ami Muro</v>
      </c>
      <c r="D16" s="54" t="str" cm="1">
        <f t="array" ref="D16">IFERROR(INDEX(E_SHIFT_ESDS,2),"")</f>
        <v>Sarah Ringer</v>
      </c>
      <c r="E16" s="54" t="str" cm="1">
        <f t="array" ref="E16">IFERROR(INDEX(F_SHIFT_ESDS,2),"")</f>
        <v xml:space="preserve">Tami Worden     </v>
      </c>
      <c r="G16" s="13"/>
    </row>
    <row r="17" spans="1:8" ht="13.5" customHeight="1" x14ac:dyDescent="0.2">
      <c r="A17" s="55" t="str" cm="1">
        <f t="array" ref="A17">IFERROR(INDEX(A_SHIFT_ESDS,3),"")</f>
        <v>Patty O’Grady</v>
      </c>
      <c r="B17" s="54" t="str" cm="1">
        <f t="array" ref="B17">IFERROR(INDEX(B_SHIFT_ESDS,3),"")</f>
        <v>Brenda Morgantini</v>
      </c>
      <c r="C17" s="54" t="str" cm="1">
        <f t="array" ref="C17">IFERROR(INDEX(C_SHIFT_ESDS,3),"")</f>
        <v>Mathew Hackney</v>
      </c>
      <c r="D17" s="54" t="str" cm="1">
        <f t="array" ref="D17">IFERROR(INDEX(E_SHIFT_ESDS,3),"")</f>
        <v>Nozomi Vasquez</v>
      </c>
      <c r="E17" s="54" t="str" cm="1">
        <f t="array" ref="E17">IFERROR(INDEX(F_SHIFT_ESDS,3),"")</f>
        <v>Nyia Vang</v>
      </c>
      <c r="G17" s="13"/>
    </row>
    <row r="18" spans="1:8" ht="13.5" customHeight="1" x14ac:dyDescent="0.2">
      <c r="A18" s="55" t="str" cm="1">
        <f t="array" ref="A18">IFERROR(INDEX(A_SHIFT_ESDS,4),"")</f>
        <v>Matt Sonderegger</v>
      </c>
      <c r="B18" s="54" t="str" cm="1">
        <f t="array" ref="B18">IFERROR(INDEX(B_SHIFT_ESDS,4),"")</f>
        <v>Zer Yang</v>
      </c>
      <c r="C18" s="54" t="str" cm="1">
        <f t="array" ref="C18">IFERROR(INDEX(C_SHIFT_ESDS,4),"")</f>
        <v>Sofia Ruelas</v>
      </c>
      <c r="D18" s="54" t="str" cm="1">
        <f t="array" ref="D18">IFERROR(INDEX(E_SHIFT_ESDS,4),"")</f>
        <v>Kelly Wiens</v>
      </c>
      <c r="E18" s="54" t="str" cm="1">
        <f t="array" ref="E18">IFERROR(INDEX(F_SHIFT_ESDS,4),"")</f>
        <v>Elexis Scott</v>
      </c>
      <c r="G18" s="86" t="s">
        <v>151</v>
      </c>
      <c r="H18" s="86"/>
    </row>
    <row r="19" spans="1:8" ht="13.5" customHeight="1" x14ac:dyDescent="0.2">
      <c r="A19" s="55" t="str" cm="1">
        <f t="array" ref="A19">IFERROR(INDEX(A_SHIFT_ESDS,5),"")</f>
        <v>Lorraine Flenory</v>
      </c>
      <c r="B19" s="54" t="str" cm="1">
        <f t="array" ref="B19">IFERROR(INDEX(B_SHIFT_ESDS,5),"")</f>
        <v>Rina Rosales</v>
      </c>
      <c r="C19" s="54" cm="1">
        <f t="array" ref="C19">IFERROR(INDEX(C_SHIFT_ESDS,5),"")</f>
        <v>0</v>
      </c>
      <c r="D19" s="54" t="str" cm="1">
        <f t="array" ref="D19">IFERROR(INDEX(E_SHIFT_ESDS,5),"")</f>
        <v>Melissa Joint</v>
      </c>
      <c r="E19" s="54" t="str" cm="1">
        <f t="array" ref="E19">IFERROR(INDEX(F_SHIFT_ESDS,5),"")</f>
        <v>Lauren Lilly</v>
      </c>
      <c r="F19" s="74">
        <v>730</v>
      </c>
      <c r="G19" s="56"/>
      <c r="H19" s="23"/>
    </row>
    <row r="20" spans="1:8" ht="13.5" customHeight="1" x14ac:dyDescent="0.2">
      <c r="A20" s="55" t="str" cm="1">
        <f t="array" ref="A20">IFERROR(INDEX(A_SHIFT_ESDS,6),"")</f>
        <v>Jodi Garland</v>
      </c>
      <c r="B20" s="54" t="str" cm="1">
        <f t="array" ref="B20">IFERROR(INDEX(B_SHIFT_ESDS,6),"")</f>
        <v>Norma Garvey</v>
      </c>
      <c r="C20" s="54" cm="1">
        <f t="array" ref="C20">IFERROR(INDEX(C_SHIFT_ESDS,6),"")</f>
        <v>0</v>
      </c>
      <c r="D20" s="54" t="str" cm="1">
        <f t="array" ref="D20">IFERROR(INDEX(E_SHIFT_ESDS,6),"")</f>
        <v>Bianca Hernandez</v>
      </c>
      <c r="E20" s="54" t="str" cm="1">
        <f t="array" ref="E20">IFERROR(INDEX(F_SHIFT_ESDS,6),"")</f>
        <v>Kimberly Lott</v>
      </c>
      <c r="F20" s="74">
        <v>930</v>
      </c>
      <c r="G20" s="56"/>
      <c r="H20" s="23"/>
    </row>
    <row r="21" spans="1:8" ht="13.5" customHeight="1" x14ac:dyDescent="0.2">
      <c r="A21" s="55" t="str" cm="1">
        <f t="array" ref="A21">IFERROR(INDEX(A_SHIFT_ESDS,7),"")</f>
        <v>Monica Ramirez</v>
      </c>
      <c r="B21" s="54" t="str" cm="1">
        <f t="array" ref="B21">IFERROR(INDEX(B_SHIFT_ESDS,7),"")</f>
        <v>Lori Brown</v>
      </c>
      <c r="C21" s="54" cm="1">
        <f t="array" ref="C21">IFERROR(INDEX(C_SHIFT_ESDS,7),"")</f>
        <v>0</v>
      </c>
      <c r="D21" s="54" t="str" cm="1">
        <f t="array" ref="D21">IFERROR(INDEX(E_SHIFT_ESDS,7),"")</f>
        <v>Paola Barrientos</v>
      </c>
      <c r="E21" s="54" t="str" cm="1">
        <f t="array" ref="E21">IFERROR(INDEX(F_SHIFT_ESDS,7),"")</f>
        <v>Mariah Rosales</v>
      </c>
      <c r="F21" s="56">
        <v>1130</v>
      </c>
      <c r="G21" s="56"/>
      <c r="H21" s="23"/>
    </row>
    <row r="22" spans="1:8" ht="13.5" customHeight="1" x14ac:dyDescent="0.2">
      <c r="A22" s="55" t="str" cm="1">
        <f t="array" ref="A22">IFERROR(INDEX(A_SHIFT_ESDS,8),"")</f>
        <v>Jamielyn Shwetzer</v>
      </c>
      <c r="B22" s="54" t="str" cm="1">
        <f t="array" ref="B22">IFERROR(INDEX(B_SHIFT_ESDS,8),"")</f>
        <v xml:space="preserve">Heidi Roberts </v>
      </c>
      <c r="C22" s="54" cm="1">
        <f t="array" ref="C22">IFERROR(INDEX(C_SHIFT_ESDS,8),"")</f>
        <v>0</v>
      </c>
      <c r="D22" s="54" t="str" cm="1">
        <f t="array" ref="D22">IFERROR(INDEX(E_SHIFT_ESDS,8),"")</f>
        <v>Jason Yang</v>
      </c>
      <c r="E22" s="54" t="str" cm="1">
        <f t="array" ref="E22">IFERROR(INDEX(F_SHIFT_ESDS,8),"")</f>
        <v>Raquel Salazar</v>
      </c>
      <c r="F22" s="56">
        <v>1330</v>
      </c>
      <c r="G22" s="56"/>
      <c r="H22" s="23"/>
    </row>
    <row r="23" spans="1:8" ht="13.5" customHeight="1" x14ac:dyDescent="0.2">
      <c r="A23" s="55" t="str" cm="1">
        <f t="array" ref="A23">IFERROR(INDEX(A_SHIFT_ESDS,9),"")</f>
        <v>Valeria Guzman</v>
      </c>
      <c r="B23" s="54" t="str" cm="1">
        <f t="array" ref="B23">IFERROR(INDEX(B_SHIFT_ESDS,9),"")</f>
        <v>Rebekah Isquierdo</v>
      </c>
      <c r="C23" s="54" cm="1">
        <f t="array" ref="C23">IFERROR(INDEX(C_SHIFT_ESDS,9),"")</f>
        <v>0</v>
      </c>
      <c r="D23" s="54" t="str" cm="1">
        <f t="array" ref="D23">IFERROR(INDEX(E_SHIFT_ESDS,9),"")</f>
        <v>Adrienne Rodriguez</v>
      </c>
      <c r="E23" s="54" t="str" cm="1">
        <f t="array" ref="E23">IFERROR(INDEX(F_SHIFT_ESDS,9),"")</f>
        <v>Jorge Alcorn</v>
      </c>
      <c r="F23" s="56">
        <v>1530</v>
      </c>
      <c r="G23" s="56"/>
      <c r="H23" s="23"/>
    </row>
    <row r="24" spans="1:8" ht="13.5" customHeight="1" x14ac:dyDescent="0.2">
      <c r="A24" s="55" t="str" cm="1">
        <f t="array" ref="A24">IFERROR(INDEX(A_SHIFT_ESDS,10),"")</f>
        <v>Mindy Mcclung</v>
      </c>
      <c r="B24" s="54" t="str" cm="1">
        <f t="array" ref="B24">IFERROR(INDEX(B_SHIFT_ESDS,10),"")</f>
        <v>Darlene Foell</v>
      </c>
      <c r="C24" s="54" cm="1">
        <f t="array" ref="C24">IFERROR(INDEX(C_SHIFT_ESDS,10),"")</f>
        <v>0</v>
      </c>
      <c r="D24" s="54" t="str" cm="1">
        <f t="array" ref="D24">IFERROR(INDEX(E_SHIFT_ESDS,10),"")</f>
        <v>Adriana Dedios</v>
      </c>
      <c r="E24" s="54" t="str" cm="1">
        <f t="array" ref="E24">IFERROR(INDEX(F_SHIFT_ESDS,10),"")</f>
        <v>Jasmine Gomez</v>
      </c>
      <c r="F24" s="56">
        <v>1730</v>
      </c>
      <c r="G24" s="56"/>
      <c r="H24" s="23"/>
    </row>
    <row r="25" spans="1:8" ht="13.5" customHeight="1" x14ac:dyDescent="0.2">
      <c r="A25" s="55" t="str" cm="1">
        <f t="array" ref="A25">IFERROR(INDEX(A_SHIFT_ESDS,11),"")</f>
        <v>Alexis Yandell</v>
      </c>
      <c r="B25" s="54" t="str" cm="1">
        <f t="array" ref="B25">IFERROR(INDEX(B_SHIFT_ESDS,11),"")</f>
        <v>Markey Blankenship</v>
      </c>
      <c r="C25" s="54" cm="1">
        <f t="array" ref="C25">IFERROR(INDEX(C_SHIFT_ESDS,11),"")</f>
        <v>0</v>
      </c>
      <c r="D25" s="54" t="str" cm="1">
        <f t="array" ref="D25">IFERROR(INDEX(E_SHIFT_ESDS,11),"")</f>
        <v>Dulcivet Garcia</v>
      </c>
      <c r="E25" s="54" t="str" cm="1">
        <f t="array" ref="E25">IFERROR(INDEX(F_SHIFT_ESDS,11),"")</f>
        <v>April Ponce</v>
      </c>
      <c r="F25" s="74">
        <v>1930</v>
      </c>
      <c r="G25" s="56"/>
      <c r="H25" s="23"/>
    </row>
    <row r="26" spans="1:8" ht="13.5" customHeight="1" x14ac:dyDescent="0.2">
      <c r="A26" s="55" t="str" cm="1">
        <f t="array" ref="A26">IFERROR(INDEX(A_SHIFT_ESDS,12),"")</f>
        <v>Marrie Sip</v>
      </c>
      <c r="B26" s="54" t="str" cm="1">
        <f t="array" ref="B26">IFERROR(INDEX(B_SHIFT_ESDS,12),"")</f>
        <v>Sonam Carter</v>
      </c>
      <c r="C26" s="54" cm="1">
        <f t="array" ref="C26">IFERROR(INDEX(C_SHIFT_ESDS,12),"")</f>
        <v>0</v>
      </c>
      <c r="D26" s="54" t="str" cm="1">
        <f t="array" ref="D26">IFERROR(INDEX(E_SHIFT_ESDS,12),"")</f>
        <v>Susie Amezcua</v>
      </c>
      <c r="E26" s="54" t="str" cm="1">
        <f t="array" ref="E26">IFERROR(INDEX(F_SHIFT_ESDS,12),"")</f>
        <v>Curt Barrow</v>
      </c>
      <c r="F26" s="74">
        <v>2130</v>
      </c>
      <c r="G26" s="56"/>
      <c r="H26" s="23"/>
    </row>
    <row r="27" spans="1:8" ht="13.5" customHeight="1" x14ac:dyDescent="0.2">
      <c r="A27" s="55" t="str" cm="1">
        <f t="array" ref="A27">IFERROR(INDEX(A_SHIFT_ESDS,13),"")</f>
        <v>Chelsea Meave</v>
      </c>
      <c r="B27" s="54" t="str" cm="1">
        <f t="array" ref="B27">IFERROR(INDEX(B_SHIFT_ESDS,13),"")</f>
        <v xml:space="preserve">Jessica Dukes </v>
      </c>
      <c r="C27" s="54" cm="1">
        <f t="array" ref="C27">IFERROR(INDEX(C_SHIFT_ESDS,13),"")</f>
        <v>0</v>
      </c>
      <c r="D27" s="54" t="str" cm="1">
        <f t="array" ref="D27">IFERROR(INDEX(E_SHIFT_ESDS,13),"")</f>
        <v>Nathanly Rodriguez</v>
      </c>
      <c r="E27" s="54" t="str" cm="1">
        <f t="array" ref="E27">IFERROR(INDEX(F_SHIFT_ESDS,13),"")</f>
        <v>Stephanie Rojas</v>
      </c>
      <c r="F27" s="74">
        <v>2330</v>
      </c>
      <c r="G27" s="56"/>
      <c r="H27" s="23"/>
    </row>
    <row r="28" spans="1:8" ht="13.5" customHeight="1" x14ac:dyDescent="0.2">
      <c r="A28" s="55" t="str" cm="1">
        <f t="array" ref="A28">IFERROR(INDEX(A_SHIFT_ESDS,14),"")</f>
        <v>Gwen Anzaldo</v>
      </c>
      <c r="B28" s="54" t="str" cm="1">
        <f t="array" ref="B28">IFERROR(INDEX(B_SHIFT_ESDS,14),"")</f>
        <v xml:space="preserve">Sarah Fraley </v>
      </c>
      <c r="C28" s="54" cm="1">
        <f t="array" ref="C28">IFERROR(INDEX(C_SHIFT_ESDS,14),"")</f>
        <v>0</v>
      </c>
      <c r="D28" s="54" t="str" cm="1">
        <f t="array" ref="D28">IFERROR(INDEX(E_SHIFT_ESDS,14),"")</f>
        <v>Akilah Mccullough</v>
      </c>
      <c r="E28" s="54" t="str" cm="1">
        <f t="array" ref="E28">IFERROR(INDEX(F_SHIFT_ESDS,14),"")</f>
        <v>Mark Teixeira</v>
      </c>
      <c r="F28" s="56">
        <v>130</v>
      </c>
      <c r="G28" s="56"/>
      <c r="H28" s="23"/>
    </row>
    <row r="29" spans="1:8" ht="13.5" customHeight="1" x14ac:dyDescent="0.2">
      <c r="A29" s="55" t="str" cm="1">
        <f t="array" ref="A29">IFERROR(INDEX(A_SHIFT_ESDS,15),"")</f>
        <v>Robert Noriega</v>
      </c>
      <c r="B29" s="54" t="str" cm="1">
        <f t="array" ref="B29">IFERROR(INDEX(B_SHIFT_ESDS,15),"")</f>
        <v>Josephine Botello</v>
      </c>
      <c r="C29" s="54" cm="1">
        <f t="array" ref="C29">IFERROR(INDEX(C_SHIFT_ESDS,15),"")</f>
        <v>0</v>
      </c>
      <c r="D29" s="54" t="str" cm="1">
        <f t="array" ref="D29">IFERROR(INDEX(E_SHIFT_ESDS,15),"")</f>
        <v>Allyson Trevino</v>
      </c>
      <c r="E29" s="54" t="str" cm="1">
        <f t="array" ref="E29">IFERROR(INDEX(F_SHIFT_ESDS,15),"")</f>
        <v>Edie Ochoa</v>
      </c>
      <c r="G29" s="100" t="s">
        <v>166</v>
      </c>
      <c r="H29" s="100"/>
    </row>
    <row r="30" spans="1:8" ht="13.5" customHeight="1" x14ac:dyDescent="0.2">
      <c r="A30" s="55" cm="1">
        <f t="array" ref="A30">IFERROR(INDEX(A_SHIFT_ESDS,16),"")</f>
        <v>0</v>
      </c>
      <c r="B30" s="54" t="str" cm="1">
        <f t="array" ref="B30">IFERROR(INDEX(B_SHIFT_ESDS,16),"")</f>
        <v>Maribel Escareno</v>
      </c>
      <c r="C30" s="54"/>
      <c r="D30" s="54" t="str" cm="1">
        <f t="array" ref="D30">IFERROR(INDEX(E_SHIFT_ESDS,16),"")</f>
        <v>Jessica Cardoza</v>
      </c>
      <c r="E30" s="54" cm="1">
        <f t="array" ref="E30">IFERROR(INDEX(F_SHIFT_ESDS,16),"")</f>
        <v>0</v>
      </c>
      <c r="G30" s="74">
        <v>1530</v>
      </c>
      <c r="H30" s="75" t="str">
        <f>IF('2026'!I105&lt;&gt;"", '2026'!I105, "")</f>
        <v/>
      </c>
    </row>
    <row r="31" spans="1:8" ht="13.5" customHeight="1" x14ac:dyDescent="0.2">
      <c r="A31" s="55" cm="1">
        <f t="array" ref="A31">IFERROR(INDEX(A_SHIFT_ESDS,17),"")</f>
        <v>0</v>
      </c>
      <c r="B31" s="54" t="str" cm="1">
        <f t="array" ref="B31">IFERROR(INDEX(B_SHIFT_ESDS,17),"")</f>
        <v>Kyler Lorin</v>
      </c>
      <c r="C31" s="54"/>
      <c r="D31" s="54" t="str" cm="1">
        <f t="array" ref="D31">IFERROR(INDEX(E_SHIFT_ESDS,17),"")</f>
        <v>Jesse Jimenez</v>
      </c>
      <c r="E31" s="54" cm="1">
        <f t="array" ref="E31">IFERROR(INDEX(F_SHIFT_ESDS,17),"")</f>
        <v>0</v>
      </c>
      <c r="F31" s="58"/>
      <c r="G31" s="74">
        <v>1730</v>
      </c>
      <c r="H31" s="75" t="str">
        <f>IF('2026'!I106&lt;&gt;"", '2026'!I106, "")</f>
        <v/>
      </c>
    </row>
    <row r="32" spans="1:8" ht="13.5" customHeight="1" x14ac:dyDescent="0.2">
      <c r="A32" s="55" cm="1">
        <f t="array" ref="A32">IFERROR(INDEX(A_SHIFT_ESDS,18),"")</f>
        <v>0</v>
      </c>
      <c r="B32" s="54" t="str" cm="1">
        <f t="array" ref="B32">IFERROR(INDEX(B_SHIFT_ESDS,18),"")</f>
        <v>Eric Uribe</v>
      </c>
      <c r="C32" s="54"/>
      <c r="D32" s="54" t="str" cm="1">
        <f t="array" ref="D32">IFERROR(INDEX(E_SHIFT_ESDS,18),"")</f>
        <v>Cicaly Cruz</v>
      </c>
      <c r="E32" s="54" cm="1">
        <f t="array" ref="E32">IFERROR(INDEX(F_SHIFT_ESDS,18),"")</f>
        <v>0</v>
      </c>
      <c r="G32" s="74">
        <v>1930</v>
      </c>
      <c r="H32" s="75" t="str">
        <f>IF('2026'!I107&lt;&gt;"", '2026'!I107, "")</f>
        <v/>
      </c>
    </row>
    <row r="33" spans="1:8" ht="13.5" customHeight="1" x14ac:dyDescent="0.2">
      <c r="A33" s="55" cm="1">
        <f t="array" ref="A33">IFERROR(INDEX(A_SHIFT_ESDS,19),"")</f>
        <v>0</v>
      </c>
      <c r="B33" s="54" t="str" cm="1">
        <f t="array" ref="B33">IFERROR(INDEX(B_SHIFT_ESDS,19),"")</f>
        <v>Melina Davila</v>
      </c>
      <c r="C33" s="54"/>
      <c r="D33" s="54" t="str" cm="1">
        <f t="array" ref="D33">IFERROR(INDEX(E_SHIFT_ESDS,19),"")</f>
        <v>Cassidy Voudry</v>
      </c>
      <c r="E33" s="54" cm="1">
        <f t="array" ref="E33">IFERROR(INDEX(F_SHIFT_ESDS,19),"")</f>
        <v>0</v>
      </c>
      <c r="G33" s="74">
        <v>2130</v>
      </c>
      <c r="H33" s="75" t="str">
        <f>IF('2026'!I108&lt;&gt;"", '2026'!I108, "")</f>
        <v/>
      </c>
    </row>
    <row r="34" spans="1:8" ht="13.5" customHeight="1" x14ac:dyDescent="0.2">
      <c r="A34" s="55" cm="1">
        <f t="array" ref="A34">IFERROR(INDEX(A_SHIFT_ESDS,20),"")</f>
        <v>0</v>
      </c>
      <c r="B34" s="54" t="str" cm="1">
        <f t="array" ref="B34">IFERROR(INDEX(B_SHIFT_ESDS,20),"")</f>
        <v>Jose Lopez</v>
      </c>
      <c r="C34" s="54"/>
      <c r="D34" s="54" t="str" cm="1">
        <f t="array" ref="D34">IFERROR(INDEX(E_SHIFT_ESDS,20),"")</f>
        <v>Kanong Lee</v>
      </c>
      <c r="E34" s="54" cm="1">
        <f t="array" ref="E34">IFERROR(INDEX(F_SHIFT_ESDS,20),"")</f>
        <v>0</v>
      </c>
      <c r="G34" s="74">
        <v>2330</v>
      </c>
      <c r="H34" s="75" t="str">
        <f>IF('2026'!I109&lt;&gt;"", '2026'!I109, "")</f>
        <v/>
      </c>
    </row>
    <row r="35" spans="1:8" ht="13.5" customHeight="1" x14ac:dyDescent="0.2">
      <c r="A35" s="55" cm="1">
        <f t="array" ref="A35">IFERROR(INDEX(A_SHIFT_ESDS,21),"")</f>
        <v>0</v>
      </c>
      <c r="B35" s="54" t="str" cm="1">
        <f t="array" ref="B35">IFERROR(INDEX(B_SHIFT_ESDS,21),"")</f>
        <v>Brenda Basulto</v>
      </c>
      <c r="C35" s="54"/>
      <c r="D35" s="54" t="str" cm="1">
        <f t="array" ref="D35">IFERROR(INDEX(E_SHIFT_ESDS,21),"")</f>
        <v>Delaney Boyd-Escobedo</v>
      </c>
      <c r="E35" s="54" cm="1">
        <f t="array" ref="E35">IFERROR(INDEX(F_SHIFT_ESDS,21),"")</f>
        <v>0</v>
      </c>
      <c r="G35" s="76">
        <v>130</v>
      </c>
      <c r="H35" s="75" t="str">
        <f>IF('2026'!I110&lt;&gt;"", '2026'!I110, "")</f>
        <v/>
      </c>
    </row>
    <row r="36" spans="1:8" ht="12.2" customHeight="1" x14ac:dyDescent="0.25">
      <c r="A36" s="54"/>
      <c r="B36" s="54" t="str" cm="1">
        <f t="array" ref="B36">IFERROR(INDEX(B_SHIFT_ESDS,22),"")</f>
        <v>Vanessa Mercado</v>
      </c>
      <c r="C36" s="52" t="s">
        <v>37</v>
      </c>
      <c r="D36" s="54" t="str" cm="1">
        <f t="array" ref="D36">IFERROR(INDEX(E_SHIFT_ESDS,22),"")</f>
        <v>Jackeline Carreon</v>
      </c>
      <c r="E36" s="54" cm="1">
        <f t="array" ref="E36">IFERROR(INDEX(F_SHIFT_ESDS,22),"")</f>
        <v>0</v>
      </c>
      <c r="G36" s="84"/>
      <c r="H36" s="85"/>
    </row>
    <row r="37" spans="1:8" ht="12.2" customHeight="1" x14ac:dyDescent="0.25">
      <c r="A37" s="54"/>
      <c r="B37" s="54" cm="1">
        <f t="array" ref="B37">IFERROR(INDEX(B_SHIFT_ESDS,23),"")</f>
        <v>0</v>
      </c>
      <c r="C37" s="54" t="str" cm="1">
        <f t="array" ref="C37">IFERROR(INDEX(D_SHIFT_ESDS,1),"")</f>
        <v>May Yen Yang</v>
      </c>
      <c r="D37" s="54" t="str" cm="1">
        <f t="array" ref="D37">IFERROR(INDEX(E_SHIFT_ESDS,23),"")</f>
        <v>Leanne Heslep</v>
      </c>
      <c r="E37" s="54" cm="1">
        <f t="array" ref="E37">IFERROR(INDEX(F_SHIFT_ESDS,23),"")</f>
        <v>0</v>
      </c>
      <c r="F37" s="65"/>
      <c r="G37" s="59" t="s">
        <v>114</v>
      </c>
      <c r="H37" s="60"/>
    </row>
    <row r="38" spans="1:8" ht="12.2" customHeight="1" x14ac:dyDescent="0.2">
      <c r="A38" s="54"/>
      <c r="B38" s="54" cm="1">
        <f t="array" ref="B38">IFERROR(INDEX(B_SHIFT_ESDS,24),"")</f>
        <v>0</v>
      </c>
      <c r="C38" s="54" t="str" cm="1">
        <f t="array" ref="C38">IFERROR(INDEX(D_SHIFT_ESDS,2),"")</f>
        <v>Lydia Martinez</v>
      </c>
      <c r="D38" s="54" t="str" cm="1">
        <f t="array" ref="D38">IFERROR(INDEX(E_SHIFT_ESDS,24),"")</f>
        <v xml:space="preserve">Brittany Watson </v>
      </c>
      <c r="E38" s="54" cm="1">
        <f t="array" ref="E38">IFERROR(INDEX(F_SHIFT_ESDS,24),"")</f>
        <v>0</v>
      </c>
      <c r="G38" s="59" t="s">
        <v>18</v>
      </c>
      <c r="H38" s="60"/>
    </row>
    <row r="39" spans="1:8" ht="12.2" customHeight="1" x14ac:dyDescent="0.25">
      <c r="A39" s="54"/>
      <c r="B39" s="54" cm="1">
        <f t="array" ref="B39">IFERROR(INDEX(B_SHIFT_ESDS,25),"")</f>
        <v>0</v>
      </c>
      <c r="C39" s="54" t="str" cm="1">
        <f t="array" ref="C39">IFERROR(INDEX(D_SHIFT_ESDS,3),"")</f>
        <v>Amanda Willis</v>
      </c>
      <c r="D39" s="54" cm="1">
        <f t="array" ref="D39">IFERROR(INDEX(E_SHIFT_ESDS,25),"")</f>
        <v>0</v>
      </c>
      <c r="E39" s="54"/>
      <c r="F39" s="65"/>
      <c r="G39" s="59" t="s">
        <v>7</v>
      </c>
      <c r="H39" s="60"/>
    </row>
    <row r="40" spans="1:8" ht="12.2" customHeight="1" x14ac:dyDescent="0.2">
      <c r="A40" s="54"/>
      <c r="B40" s="54" cm="1">
        <f t="array" ref="B40">IFERROR(INDEX(B_SHIFT_ESDS,26),"")</f>
        <v>0</v>
      </c>
      <c r="C40" s="54" t="str" cm="1">
        <f t="array" ref="C40">IFERROR(INDEX(D_SHIFT_ESDS,4),"")</f>
        <v>Maria Jones</v>
      </c>
      <c r="D40" s="54" cm="1">
        <f t="array" ref="D40">IFERROR(INDEX(E_SHIFT_ESDS,26),"")</f>
        <v>0</v>
      </c>
      <c r="E40" s="54"/>
      <c r="F40" s="61"/>
      <c r="G40" s="59" t="s">
        <v>8</v>
      </c>
      <c r="H40" s="60"/>
    </row>
    <row r="41" spans="1:8" ht="12.2" customHeight="1" x14ac:dyDescent="0.2">
      <c r="A41" s="54"/>
      <c r="B41" s="54" cm="1">
        <f t="array" ref="B41">IFERROR(INDEX(B_SHIFT_ESDS,27),"")</f>
        <v>0</v>
      </c>
      <c r="C41" s="54" t="str" cm="1">
        <f t="array" ref="C41">IFERROR(INDEX(D_SHIFT_ESDS,5),"")</f>
        <v>Shadon Riahizadeh</v>
      </c>
      <c r="D41" s="54" cm="1">
        <f t="array" ref="D41">IFERROR(INDEX(E_SHIFT_ESDS,27),"")</f>
        <v>0</v>
      </c>
      <c r="E41" s="54"/>
      <c r="F41" s="61"/>
      <c r="G41" s="61"/>
      <c r="H41" s="61"/>
    </row>
    <row r="42" spans="1:8" ht="12.2" customHeight="1" x14ac:dyDescent="0.2">
      <c r="A42" s="54"/>
      <c r="B42" s="54" cm="1">
        <f t="array" ref="B42">IFERROR(INDEX(B_SHIFT_ESDS,28),"")</f>
        <v>0</v>
      </c>
      <c r="C42" s="54" t="str" cm="1">
        <f t="array" ref="C42">IFERROR(INDEX(D_SHIFT_ESDS,6),"")</f>
        <v>Danielle Parre</v>
      </c>
      <c r="D42" s="54" cm="1">
        <f t="array" ref="D42">IFERROR(INDEX(E_SHIFT_ESDS,28),"")</f>
        <v>0</v>
      </c>
      <c r="E42" s="54"/>
      <c r="F42" s="61"/>
      <c r="G42" s="61"/>
      <c r="H42" s="61"/>
    </row>
    <row r="43" spans="1:8" ht="15.75" customHeight="1" x14ac:dyDescent="0.2">
      <c r="A43" s="54"/>
      <c r="B43" s="54" cm="1">
        <f t="array" ref="B43">IFERROR(INDEX(B_SHIFT_ESDS,29),"")</f>
        <v>0</v>
      </c>
      <c r="C43" s="54" t="str" cm="1">
        <f t="array" ref="C43">IFERROR(INDEX(D_SHIFT_ESDS,7),"")</f>
        <v>Brenda Basulto</v>
      </c>
      <c r="D43" s="54" cm="1">
        <f t="array" ref="D43">IFERROR(INDEX(E_SHIFT_ESDS,29),"")</f>
        <v>0</v>
      </c>
      <c r="E43" s="54"/>
      <c r="F43" s="64"/>
      <c r="G43" s="61"/>
      <c r="H43" s="61"/>
    </row>
    <row r="44" spans="1:8" ht="15.75" customHeight="1" x14ac:dyDescent="0.2">
      <c r="A44" s="54"/>
      <c r="B44" s="54" cm="1">
        <f t="array" ref="B44">IFERROR(INDEX(B_SHIFT_ESDS,30),"")</f>
        <v>0</v>
      </c>
      <c r="C44" s="54" t="str" cm="1">
        <f t="array" ref="C44">IFERROR(INDEX(D_SHIFT_ESDS,8),"")</f>
        <v>Emily Franco</v>
      </c>
      <c r="D44" s="54" cm="1">
        <f t="array" ref="D44">IFERROR(INDEX(E_SHIFT_ESDS,30),"")</f>
        <v>0</v>
      </c>
      <c r="E44" s="54"/>
      <c r="F44" s="64"/>
      <c r="G44" s="61"/>
      <c r="H44" s="61"/>
    </row>
    <row r="45" spans="1:8" ht="15.75" customHeight="1" x14ac:dyDescent="0.2">
      <c r="A45" s="54"/>
      <c r="B45" s="54" cm="1">
        <f t="array" ref="B45">IFERROR(INDEX(B_SHIFT_ESDS,31),"")</f>
        <v>0</v>
      </c>
      <c r="C45" s="54" t="str" cm="1">
        <f t="array" ref="C45">IFERROR(INDEX(D_SHIFT_ESDS,9),"")</f>
        <v>Ricka  Majors</v>
      </c>
      <c r="D45" s="54" cm="1">
        <f t="array" ref="D45">IFERROR(INDEX(E_SHIFT_ESDS,31),"")</f>
        <v>0</v>
      </c>
      <c r="E45" s="55"/>
    </row>
    <row r="46" spans="1:8" ht="15.75" customHeight="1" x14ac:dyDescent="0.2">
      <c r="A46" s="54" cm="1">
        <f t="array" ref="A46">IFERROR(INDEX(TRAINEES_ESDS,16),"")</f>
        <v>0</v>
      </c>
      <c r="B46" s="54" cm="1">
        <f t="array" ref="B46">IFERROR(INDEX(B_SHIFT_ESDS,32),"")</f>
        <v>0</v>
      </c>
      <c r="C46" s="54" t="str" cm="1">
        <f t="array" ref="C46">IFERROR(INDEX(D_SHIFT_ESDS,10),"")</f>
        <v>Asuzena Aquino</v>
      </c>
      <c r="D46" s="54" cm="1">
        <f t="array" ref="D46">IFERROR(INDEX(E_SHIFT_ESDS,32),"")</f>
        <v>0</v>
      </c>
      <c r="E46" s="55"/>
    </row>
    <row r="47" spans="1:8" ht="15.75" customHeight="1" x14ac:dyDescent="0.2">
      <c r="A47" s="54" cm="1">
        <f t="array" ref="A47">IFERROR(INDEX(TRAINEES_ESDS,17),"")</f>
        <v>0</v>
      </c>
      <c r="B47" s="54" cm="1">
        <f t="array" ref="B47">IFERROR(INDEX(B_SHIFT_ESDS,33),"")</f>
        <v>0</v>
      </c>
      <c r="C47" s="54" t="str" cm="1">
        <f t="array" ref="C47">IFERROR(INDEX(D_SHIFT_ESDS,11),"")</f>
        <v>Jorge Rosales</v>
      </c>
    </row>
    <row r="48" spans="1:8" ht="15.75" customHeight="1" x14ac:dyDescent="0.2">
      <c r="A48" s="54" cm="1">
        <f t="array" ref="A48">IFERROR(INDEX(TRAINEES_ESDS,18),"")</f>
        <v>0</v>
      </c>
      <c r="B48" s="54" cm="1">
        <f t="array" ref="B48">IFERROR(INDEX(B_SHIFT_ESDS,34),"")</f>
        <v>0</v>
      </c>
      <c r="C48" s="54" t="str" cm="1">
        <f t="array" ref="C48">IFERROR(INDEX(D_SHIFT_ESDS,12),"")</f>
        <v>Cierra Chochrek</v>
      </c>
    </row>
    <row r="49" spans="1:3" ht="15.75" customHeight="1" x14ac:dyDescent="0.2">
      <c r="A49" s="54" cm="1">
        <f t="array" ref="A49">IFERROR(INDEX(TRAINEES_ESDS,19),"")</f>
        <v>0</v>
      </c>
      <c r="B49" s="54" cm="1">
        <f t="array" ref="B49">IFERROR(INDEX(B_SHIFT_ESDS,35),"")</f>
        <v>0</v>
      </c>
      <c r="C49" s="54" t="str" cm="1">
        <f t="array" ref="C49">IFERROR(INDEX(D_SHIFT_ESDS,13),"")</f>
        <v>Daniel Gallardo</v>
      </c>
    </row>
    <row r="50" spans="1:3" ht="15.75" customHeight="1" x14ac:dyDescent="0.2">
      <c r="A50" s="54" cm="1">
        <f t="array" ref="A50">IFERROR(INDEX(TRAINEES_ESDS,20),"")</f>
        <v>0</v>
      </c>
      <c r="B50" s="54" cm="1">
        <f t="array" ref="B50">IFERROR(INDEX(B_SHIFT_ESDS,36),"")</f>
        <v>0</v>
      </c>
      <c r="C50" s="54" cm="1">
        <f t="array" ref="C50">IFERROR(INDEX(D_SHIFT_ESDS,14),"")</f>
        <v>0</v>
      </c>
    </row>
    <row r="51" spans="1:3" ht="15.75" customHeight="1" x14ac:dyDescent="0.2">
      <c r="B51" s="54" cm="1">
        <f t="array" ref="B51">IFERROR(INDEX(B_SHIFT_ESDS,37),"")</f>
        <v>0</v>
      </c>
      <c r="C51" s="54" cm="1">
        <f t="array" ref="C51">IFERROR(INDEX(D_SHIFT_ESDS,15),"")</f>
        <v>0</v>
      </c>
    </row>
    <row r="52" spans="1:3" ht="15.75" customHeight="1" x14ac:dyDescent="0.2">
      <c r="B52" s="54" cm="1">
        <f t="array" ref="B52">IFERROR(INDEX(B_SHIFT_ESDS,38),"")</f>
        <v>0</v>
      </c>
      <c r="C52" s="54" cm="1">
        <f t="array" ref="C52">IFERROR(INDEX(D_SHIFT_ESDS,16),"")</f>
        <v>0</v>
      </c>
    </row>
    <row r="53" spans="1:3" ht="15.75" customHeight="1" x14ac:dyDescent="0.2">
      <c r="C53" s="54" cm="1">
        <f t="array" ref="C53">IFERROR(INDEX(D_SHIFT_ESDS,17),"")</f>
        <v>0</v>
      </c>
    </row>
    <row r="54" spans="1:3" ht="15.75" customHeight="1" x14ac:dyDescent="0.2"/>
    <row r="55" spans="1:3" ht="15.75" customHeight="1" x14ac:dyDescent="0.2"/>
    <row r="56" spans="1:3" ht="15.75" customHeight="1" x14ac:dyDescent="0.2"/>
    <row r="57" spans="1:3" ht="15.75" customHeight="1" x14ac:dyDescent="0.2"/>
    <row r="58" spans="1:3" ht="15.75" customHeight="1" x14ac:dyDescent="0.2"/>
    <row r="59" spans="1:3" ht="15.75" customHeight="1" x14ac:dyDescent="0.2"/>
    <row r="60" spans="1:3" ht="15.75" customHeight="1" x14ac:dyDescent="0.2"/>
    <row r="61" spans="1:3" ht="15.75" customHeight="1" x14ac:dyDescent="0.2"/>
    <row r="62" spans="1:3" ht="15.75" customHeight="1" x14ac:dyDescent="0.2"/>
    <row r="63" spans="1:3" ht="15.75" customHeight="1" x14ac:dyDescent="0.2"/>
    <row r="64" spans="1:3" ht="15.75" customHeight="1" x14ac:dyDescent="0.2"/>
    <row r="65" s="57" customFormat="1" ht="15.75" customHeight="1" x14ac:dyDescent="0.2"/>
    <row r="66" s="57" customFormat="1" ht="15.75" customHeight="1" x14ac:dyDescent="0.2"/>
    <row r="67" s="57" customFormat="1" ht="15.75" customHeight="1" x14ac:dyDescent="0.2"/>
    <row r="68" s="57" customFormat="1" ht="15.75" customHeight="1" x14ac:dyDescent="0.2"/>
    <row r="69" s="57" customFormat="1" ht="15.75" customHeight="1" x14ac:dyDescent="0.2"/>
    <row r="70" s="57" customFormat="1" ht="15.75" customHeight="1" x14ac:dyDescent="0.2"/>
    <row r="71" s="57" customFormat="1" ht="15.75" customHeight="1" x14ac:dyDescent="0.2"/>
    <row r="72" s="57" customFormat="1" ht="15.75" customHeight="1" x14ac:dyDescent="0.2"/>
    <row r="73" s="57" customFormat="1" ht="15.75" customHeight="1" x14ac:dyDescent="0.2"/>
    <row r="74" s="57" customFormat="1" ht="15.75" customHeight="1" x14ac:dyDescent="0.2"/>
    <row r="75" s="57" customFormat="1" ht="15.75" customHeight="1" x14ac:dyDescent="0.2"/>
    <row r="76" s="57" customFormat="1" ht="15.75" customHeight="1" x14ac:dyDescent="0.2"/>
    <row r="77" s="57" customFormat="1" ht="15.75" customHeight="1" x14ac:dyDescent="0.2"/>
    <row r="78" s="57" customFormat="1" ht="15.75" customHeight="1" x14ac:dyDescent="0.2"/>
    <row r="79" s="57" customFormat="1" ht="15.75" customHeight="1" x14ac:dyDescent="0.2"/>
    <row r="80" s="57" customFormat="1" ht="15.75" customHeight="1" x14ac:dyDescent="0.2"/>
    <row r="81" s="57" customFormat="1" ht="15.75" customHeight="1" x14ac:dyDescent="0.2"/>
    <row r="82" s="57" customFormat="1" ht="15.75" customHeight="1" x14ac:dyDescent="0.2"/>
    <row r="83" s="57" customFormat="1" ht="15.75" customHeight="1" x14ac:dyDescent="0.2"/>
    <row r="84" s="57" customFormat="1" ht="15.75" customHeight="1" x14ac:dyDescent="0.2"/>
    <row r="85" s="57" customFormat="1" ht="15.75" customHeight="1" x14ac:dyDescent="0.2"/>
    <row r="86" s="57" customFormat="1" ht="15.75" customHeight="1" x14ac:dyDescent="0.2"/>
    <row r="87" s="57" customFormat="1" ht="15.75" customHeight="1" x14ac:dyDescent="0.2"/>
    <row r="88" s="57" customFormat="1" ht="15.75" customHeight="1" x14ac:dyDescent="0.2"/>
    <row r="89" s="57" customFormat="1" ht="15.75" customHeight="1" x14ac:dyDescent="0.2"/>
    <row r="90" s="57" customFormat="1" ht="15.75" customHeight="1" x14ac:dyDescent="0.2"/>
    <row r="91" s="57" customFormat="1" ht="15.75" customHeight="1" x14ac:dyDescent="0.2"/>
    <row r="92" s="57" customFormat="1" ht="15.75" customHeight="1" x14ac:dyDescent="0.2"/>
    <row r="93" s="57" customFormat="1" ht="15.75" customHeight="1" x14ac:dyDescent="0.2"/>
    <row r="94" s="57" customFormat="1" ht="15.75" customHeight="1" x14ac:dyDescent="0.2"/>
    <row r="95" s="57" customFormat="1" ht="15.75" customHeight="1" x14ac:dyDescent="0.2"/>
    <row r="96" s="57" customFormat="1" ht="15.75" customHeight="1" x14ac:dyDescent="0.2"/>
    <row r="97" s="57" customFormat="1" ht="15.75" customHeight="1" x14ac:dyDescent="0.2"/>
    <row r="98" s="57" customFormat="1" ht="15.75" customHeight="1" x14ac:dyDescent="0.2"/>
    <row r="99" s="57" customFormat="1" ht="15.75" customHeight="1" x14ac:dyDescent="0.2"/>
    <row r="100" s="57" customFormat="1" ht="15.75" customHeight="1" x14ac:dyDescent="0.2"/>
    <row r="101" s="57" customFormat="1" ht="15.75" customHeight="1" x14ac:dyDescent="0.2"/>
    <row r="102" s="57" customFormat="1" ht="15.75" customHeight="1" x14ac:dyDescent="0.2"/>
    <row r="103" s="57" customFormat="1" ht="15.75" customHeight="1" x14ac:dyDescent="0.2"/>
    <row r="104" s="57" customFormat="1" ht="15.75" customHeight="1" x14ac:dyDescent="0.2"/>
    <row r="105" s="57" customFormat="1" ht="15.75" customHeight="1" x14ac:dyDescent="0.2"/>
    <row r="106" s="57" customFormat="1" ht="15.75" customHeight="1" x14ac:dyDescent="0.2"/>
    <row r="107" s="57" customFormat="1" ht="15.75" customHeight="1" x14ac:dyDescent="0.2"/>
    <row r="108" s="57" customFormat="1" ht="15.75" customHeight="1" x14ac:dyDescent="0.2"/>
    <row r="109" s="57" customFormat="1" ht="15.75" customHeight="1" x14ac:dyDescent="0.2"/>
    <row r="110" s="57" customFormat="1" ht="15.75" customHeight="1" x14ac:dyDescent="0.2"/>
    <row r="111" s="57" customFormat="1" ht="15.75" customHeight="1" x14ac:dyDescent="0.2"/>
    <row r="112" s="57" customFormat="1" ht="15.75" customHeight="1" x14ac:dyDescent="0.2"/>
    <row r="113" s="57" customFormat="1" ht="15.75" customHeight="1" x14ac:dyDescent="0.2"/>
    <row r="114" s="57" customFormat="1" ht="15.75" customHeight="1" x14ac:dyDescent="0.2"/>
    <row r="115" s="57" customFormat="1" ht="15.75" customHeight="1" x14ac:dyDescent="0.2"/>
    <row r="116" s="57" customFormat="1" ht="15.75" customHeight="1" x14ac:dyDescent="0.2"/>
    <row r="117" s="57" customFormat="1" ht="15.75" customHeight="1" x14ac:dyDescent="0.2"/>
    <row r="118" s="57" customFormat="1" ht="15.75" customHeight="1" x14ac:dyDescent="0.2"/>
    <row r="119" s="57" customFormat="1" ht="15.75" customHeight="1" x14ac:dyDescent="0.2"/>
    <row r="120" s="57" customFormat="1" ht="15.75" customHeight="1" x14ac:dyDescent="0.2"/>
    <row r="121" s="57" customFormat="1" ht="15.75" customHeight="1" x14ac:dyDescent="0.2"/>
    <row r="122" s="57" customFormat="1" ht="15.75" customHeight="1" x14ac:dyDescent="0.2"/>
    <row r="123" s="57" customFormat="1" ht="15.75" customHeight="1" x14ac:dyDescent="0.2"/>
    <row r="124" s="57" customFormat="1" ht="15.75" customHeight="1" x14ac:dyDescent="0.2"/>
    <row r="125" s="57" customFormat="1" ht="15.75" customHeight="1" x14ac:dyDescent="0.2"/>
    <row r="126" s="57" customFormat="1" ht="15.75" customHeight="1" x14ac:dyDescent="0.2"/>
    <row r="127" s="57" customFormat="1" ht="15.75" customHeight="1" x14ac:dyDescent="0.2"/>
    <row r="128" s="57" customFormat="1" ht="15.75" customHeight="1" x14ac:dyDescent="0.2"/>
    <row r="129" s="57" customFormat="1" ht="15.75" customHeight="1" x14ac:dyDescent="0.2"/>
    <row r="130" s="57" customFormat="1" ht="15.75" customHeight="1" x14ac:dyDescent="0.2"/>
    <row r="131" s="57" customFormat="1" ht="15.75" customHeight="1" x14ac:dyDescent="0.2"/>
    <row r="132" s="57" customFormat="1" ht="15.75" customHeight="1" x14ac:dyDescent="0.2"/>
    <row r="133" s="57" customFormat="1" ht="15.75" customHeight="1" x14ac:dyDescent="0.2"/>
    <row r="134" s="57" customFormat="1" ht="15.75" customHeight="1" x14ac:dyDescent="0.2"/>
    <row r="135" s="57" customFormat="1" ht="15.75" customHeight="1" x14ac:dyDescent="0.2"/>
    <row r="136" s="57" customFormat="1" ht="15.75" customHeight="1" x14ac:dyDescent="0.2"/>
    <row r="137" s="57" customFormat="1" ht="15.75" customHeight="1" x14ac:dyDescent="0.2"/>
    <row r="138" s="57" customFormat="1" ht="15.75" customHeight="1" x14ac:dyDescent="0.2"/>
    <row r="139" s="57" customFormat="1" ht="15.75" customHeight="1" x14ac:dyDescent="0.2"/>
    <row r="140" s="57" customFormat="1" ht="15.75" customHeight="1" x14ac:dyDescent="0.2"/>
    <row r="141" s="57" customFormat="1" ht="15.75" customHeight="1" x14ac:dyDescent="0.2"/>
    <row r="142" s="57" customFormat="1" ht="15.75" customHeight="1" x14ac:dyDescent="0.2"/>
    <row r="143" s="57" customFormat="1" ht="15.75" customHeight="1" x14ac:dyDescent="0.2"/>
    <row r="144" s="57" customFormat="1" ht="15.75" customHeight="1" x14ac:dyDescent="0.2"/>
    <row r="145" s="57" customFormat="1" ht="15.75" customHeight="1" x14ac:dyDescent="0.2"/>
    <row r="146" s="57" customFormat="1" ht="15.75" customHeight="1" x14ac:dyDescent="0.2"/>
    <row r="147" s="57" customFormat="1" ht="15.75" customHeight="1" x14ac:dyDescent="0.2"/>
    <row r="148" s="57" customFormat="1" ht="15.75" customHeight="1" x14ac:dyDescent="0.2"/>
    <row r="149" s="57" customFormat="1" ht="15.75" customHeight="1" x14ac:dyDescent="0.2"/>
    <row r="150" s="57" customFormat="1" ht="15.75" customHeight="1" x14ac:dyDescent="0.2"/>
    <row r="151" s="57" customFormat="1" ht="15.75" customHeight="1" x14ac:dyDescent="0.2"/>
    <row r="152" s="57" customFormat="1" ht="15.75" customHeight="1" x14ac:dyDescent="0.2"/>
    <row r="153" s="57" customFormat="1" ht="15.75" customHeight="1" x14ac:dyDescent="0.2"/>
    <row r="154" s="57" customFormat="1" ht="15.75" customHeight="1" x14ac:dyDescent="0.2"/>
    <row r="155" s="57" customFormat="1" ht="15.75" customHeight="1" x14ac:dyDescent="0.2"/>
    <row r="156" s="57" customFormat="1" ht="15.75" customHeight="1" x14ac:dyDescent="0.2"/>
    <row r="157" s="57" customFormat="1" ht="15.75" customHeight="1" x14ac:dyDescent="0.2"/>
    <row r="158" s="57" customFormat="1" ht="15.75" customHeight="1" x14ac:dyDescent="0.2"/>
    <row r="159" s="57" customFormat="1" ht="15.75" customHeight="1" x14ac:dyDescent="0.2"/>
    <row r="160" s="57" customFormat="1" ht="15.75" customHeight="1" x14ac:dyDescent="0.2"/>
    <row r="161" s="57" customFormat="1" ht="15.75" customHeight="1" x14ac:dyDescent="0.2"/>
    <row r="162" s="57" customFormat="1" ht="15.75" customHeight="1" x14ac:dyDescent="0.2"/>
    <row r="163" s="57" customFormat="1" ht="15.75" customHeight="1" x14ac:dyDescent="0.2"/>
    <row r="164" s="57" customFormat="1" ht="15.75" customHeight="1" x14ac:dyDescent="0.2"/>
    <row r="165" s="57" customFormat="1" ht="15.75" customHeight="1" x14ac:dyDescent="0.2"/>
    <row r="166" s="57" customFormat="1" ht="15.75" customHeight="1" x14ac:dyDescent="0.2"/>
    <row r="167" s="57" customFormat="1" ht="15.75" customHeight="1" x14ac:dyDescent="0.2"/>
    <row r="168" s="57" customFormat="1" ht="15.75" customHeight="1" x14ac:dyDescent="0.2"/>
    <row r="169" s="57" customFormat="1" ht="15.75" customHeight="1" x14ac:dyDescent="0.2"/>
    <row r="170" s="57" customFormat="1" ht="15.75" customHeight="1" x14ac:dyDescent="0.2"/>
    <row r="171" s="57" customFormat="1" ht="15.75" customHeight="1" x14ac:dyDescent="0.2"/>
    <row r="172" s="57" customFormat="1" ht="15.75" customHeight="1" x14ac:dyDescent="0.2"/>
    <row r="173" s="57" customFormat="1" ht="15.75" customHeight="1" x14ac:dyDescent="0.2"/>
    <row r="174" s="57" customFormat="1" ht="15.75" customHeight="1" x14ac:dyDescent="0.2"/>
    <row r="175" s="57" customFormat="1" ht="15.75" customHeight="1" x14ac:dyDescent="0.2"/>
    <row r="176" s="57" customFormat="1" ht="15.75" customHeight="1" x14ac:dyDescent="0.2"/>
    <row r="177" s="57" customFormat="1" ht="15.75" customHeight="1" x14ac:dyDescent="0.2"/>
    <row r="178" s="57" customFormat="1" ht="15.75" customHeight="1" x14ac:dyDescent="0.2"/>
    <row r="179" s="57" customFormat="1" ht="15.75" customHeight="1" x14ac:dyDescent="0.2"/>
    <row r="180" s="57" customFormat="1" ht="15.75" customHeight="1" x14ac:dyDescent="0.2"/>
    <row r="181" s="57" customFormat="1" ht="15.75" customHeight="1" x14ac:dyDescent="0.2"/>
    <row r="182" s="57" customFormat="1" ht="15.75" customHeight="1" x14ac:dyDescent="0.2"/>
    <row r="183" s="57" customFormat="1" ht="15.75" customHeight="1" x14ac:dyDescent="0.2"/>
    <row r="184" s="57" customFormat="1" ht="15.75" customHeight="1" x14ac:dyDescent="0.2"/>
    <row r="185" s="57" customFormat="1" ht="15.75" customHeight="1" x14ac:dyDescent="0.2"/>
    <row r="186" s="57" customFormat="1" ht="15.75" customHeight="1" x14ac:dyDescent="0.2"/>
    <row r="187" s="57" customFormat="1" ht="15.75" customHeight="1" x14ac:dyDescent="0.2"/>
    <row r="188" s="57" customFormat="1" ht="15.75" customHeight="1" x14ac:dyDescent="0.2"/>
    <row r="189" s="57" customFormat="1" ht="15.75" customHeight="1" x14ac:dyDescent="0.2"/>
    <row r="190" s="57" customFormat="1" ht="15.75" customHeight="1" x14ac:dyDescent="0.2"/>
    <row r="191" s="57" customFormat="1" ht="15.75" customHeight="1" x14ac:dyDescent="0.2"/>
    <row r="192" s="57" customFormat="1" ht="15.75" customHeight="1" x14ac:dyDescent="0.2"/>
    <row r="193" s="57" customFormat="1" ht="15.75" customHeight="1" x14ac:dyDescent="0.2"/>
    <row r="194" s="57" customFormat="1" ht="15.75" customHeight="1" x14ac:dyDescent="0.2"/>
    <row r="195" s="57" customFormat="1" ht="15.75" customHeight="1" x14ac:dyDescent="0.2"/>
    <row r="196" s="57" customFormat="1" ht="15.75" customHeight="1" x14ac:dyDescent="0.2"/>
    <row r="197" s="57" customFormat="1" ht="15.75" customHeight="1" x14ac:dyDescent="0.2"/>
    <row r="198" s="57" customFormat="1" ht="15.75" customHeight="1" x14ac:dyDescent="0.2"/>
    <row r="199" s="57" customFormat="1" ht="15.75" customHeight="1" x14ac:dyDescent="0.2"/>
    <row r="200" s="57" customFormat="1" ht="15.75" customHeight="1" x14ac:dyDescent="0.2"/>
    <row r="201" s="57" customFormat="1" ht="15.75" customHeight="1" x14ac:dyDescent="0.2"/>
    <row r="202" s="57" customFormat="1" ht="15.75" customHeight="1" x14ac:dyDescent="0.2"/>
    <row r="203" s="57" customFormat="1" ht="15.75" customHeight="1" x14ac:dyDescent="0.2"/>
    <row r="204" s="57" customFormat="1" ht="15.75" customHeight="1" x14ac:dyDescent="0.2"/>
    <row r="205" s="57" customFormat="1" ht="15.75" customHeight="1" x14ac:dyDescent="0.2"/>
    <row r="206" s="57" customFormat="1" ht="15.75" customHeight="1" x14ac:dyDescent="0.2"/>
    <row r="207" s="57" customFormat="1" ht="15.75" customHeight="1" x14ac:dyDescent="0.2"/>
    <row r="208" s="57" customFormat="1" ht="15.75" customHeight="1" x14ac:dyDescent="0.2"/>
    <row r="209" s="57" customFormat="1" ht="15.75" customHeight="1" x14ac:dyDescent="0.2"/>
    <row r="210" s="57" customFormat="1" ht="15.75" customHeight="1" x14ac:dyDescent="0.2"/>
    <row r="211" s="57" customFormat="1" ht="15.75" customHeight="1" x14ac:dyDescent="0.2"/>
    <row r="212" s="57" customFormat="1" ht="15.75" customHeight="1" x14ac:dyDescent="0.2"/>
    <row r="213" s="57" customFormat="1" ht="15.75" customHeight="1" x14ac:dyDescent="0.2"/>
    <row r="214" s="57" customFormat="1" ht="15.75" customHeight="1" x14ac:dyDescent="0.2"/>
    <row r="215" s="57" customFormat="1" ht="15.75" customHeight="1" x14ac:dyDescent="0.2"/>
    <row r="216" s="57" customFormat="1" ht="15.75" customHeight="1" x14ac:dyDescent="0.2"/>
    <row r="217" s="57" customFormat="1" ht="15.75" customHeight="1" x14ac:dyDescent="0.2"/>
    <row r="218" s="57" customFormat="1" ht="15.75" customHeight="1" x14ac:dyDescent="0.2"/>
    <row r="219" s="57" customFormat="1" ht="15.75" customHeight="1" x14ac:dyDescent="0.2"/>
    <row r="220" s="57" customFormat="1" ht="15.75" customHeight="1" x14ac:dyDescent="0.2"/>
    <row r="221" s="57" customFormat="1" ht="15.75" customHeight="1" x14ac:dyDescent="0.2"/>
    <row r="222" s="57" customFormat="1" ht="15.75" customHeight="1" x14ac:dyDescent="0.2"/>
    <row r="223" s="57" customFormat="1" ht="15.75" customHeight="1" x14ac:dyDescent="0.2"/>
    <row r="224" s="57" customFormat="1" ht="15.75" customHeight="1" x14ac:dyDescent="0.2"/>
    <row r="225" s="57" customFormat="1" ht="15.75" customHeight="1" x14ac:dyDescent="0.2"/>
    <row r="226" s="57" customFormat="1" ht="15.75" customHeight="1" x14ac:dyDescent="0.2"/>
    <row r="227" s="57" customFormat="1" ht="15.75" customHeight="1" x14ac:dyDescent="0.2"/>
    <row r="228" s="57" customFormat="1" ht="15.75" customHeight="1" x14ac:dyDescent="0.2"/>
    <row r="229" s="57" customFormat="1" ht="15.75" customHeight="1" x14ac:dyDescent="0.2"/>
    <row r="230" s="57" customFormat="1" ht="15.75" customHeight="1" x14ac:dyDescent="0.2"/>
    <row r="231" s="57" customFormat="1" ht="15.75" customHeight="1" x14ac:dyDescent="0.2"/>
    <row r="232" s="57" customFormat="1" ht="15.75" customHeight="1" x14ac:dyDescent="0.2"/>
    <row r="233" s="57" customFormat="1" ht="15.75" customHeight="1" x14ac:dyDescent="0.2"/>
    <row r="234" s="57" customFormat="1" ht="15.75" customHeight="1" x14ac:dyDescent="0.2"/>
    <row r="235" s="57" customFormat="1" ht="15.75" customHeight="1" x14ac:dyDescent="0.2"/>
    <row r="236" s="57" customFormat="1" ht="15.75" customHeight="1" x14ac:dyDescent="0.2"/>
    <row r="237" s="57" customFormat="1" ht="15.75" customHeight="1" x14ac:dyDescent="0.2"/>
    <row r="238" s="57" customFormat="1" ht="15.75" customHeight="1" x14ac:dyDescent="0.2"/>
    <row r="239" s="57" customFormat="1" ht="15.75" customHeight="1" x14ac:dyDescent="0.2"/>
    <row r="240" s="57" customFormat="1" ht="15.75" customHeight="1" x14ac:dyDescent="0.2"/>
    <row r="241" s="57" customFormat="1" ht="15.75" customHeight="1" x14ac:dyDescent="0.2"/>
    <row r="242" s="57" customFormat="1" ht="15.75" customHeight="1" x14ac:dyDescent="0.2"/>
    <row r="243" s="57" customFormat="1" ht="15.75" customHeight="1" x14ac:dyDescent="0.2"/>
    <row r="244" s="57" customFormat="1" ht="15.75" customHeight="1" x14ac:dyDescent="0.2"/>
    <row r="245" s="57" customFormat="1" ht="15.75" customHeight="1" x14ac:dyDescent="0.2"/>
    <row r="246" s="57" customFormat="1" ht="15.75" customHeight="1" x14ac:dyDescent="0.2"/>
    <row r="247" s="57" customFormat="1" ht="15.75" customHeight="1" x14ac:dyDescent="0.2"/>
    <row r="248" s="57" customFormat="1" ht="15.75" customHeight="1" x14ac:dyDescent="0.2"/>
    <row r="249" s="57" customFormat="1" ht="15.75" customHeight="1" x14ac:dyDescent="0.2"/>
    <row r="250" s="57" customFormat="1" ht="15.75" customHeight="1" x14ac:dyDescent="0.2"/>
    <row r="251" s="57" customFormat="1" ht="15.75" customHeight="1" x14ac:dyDescent="0.2"/>
    <row r="252" s="57" customFormat="1" ht="15.75" customHeight="1" x14ac:dyDescent="0.2"/>
    <row r="253" s="57" customFormat="1" ht="15.75" customHeight="1" x14ac:dyDescent="0.2"/>
    <row r="254" s="57" customFormat="1" ht="15.75" customHeight="1" x14ac:dyDescent="0.2"/>
    <row r="255" s="57" customFormat="1" ht="15.75" customHeight="1" x14ac:dyDescent="0.2"/>
    <row r="256" s="57" customFormat="1" ht="15.75" customHeight="1" x14ac:dyDescent="0.2"/>
    <row r="257" s="57" customFormat="1" ht="15.75" customHeight="1" x14ac:dyDescent="0.2"/>
    <row r="258" s="57" customFormat="1" ht="15.75" customHeight="1" x14ac:dyDescent="0.2"/>
    <row r="259" s="57" customFormat="1" ht="15.75" customHeight="1" x14ac:dyDescent="0.2"/>
    <row r="260" s="57" customFormat="1" ht="15.75" customHeight="1" x14ac:dyDescent="0.2"/>
    <row r="261" s="57" customFormat="1" ht="15.75" customHeight="1" x14ac:dyDescent="0.2"/>
    <row r="262" s="57" customFormat="1" ht="15.75" customHeight="1" x14ac:dyDescent="0.2"/>
    <row r="263" s="57" customFormat="1" ht="15.75" customHeight="1" x14ac:dyDescent="0.2"/>
    <row r="264" s="57" customFormat="1" ht="15.75" customHeight="1" x14ac:dyDescent="0.2"/>
    <row r="265" s="57" customFormat="1" ht="15.75" customHeight="1" x14ac:dyDescent="0.2"/>
    <row r="266" s="57" customFormat="1" ht="15.75" customHeight="1" x14ac:dyDescent="0.2"/>
    <row r="267" s="57" customFormat="1" ht="15.75" customHeight="1" x14ac:dyDescent="0.2"/>
    <row r="268" s="57" customFormat="1" ht="15.75" customHeight="1" x14ac:dyDescent="0.2"/>
    <row r="269" s="57" customFormat="1" ht="15.75" customHeight="1" x14ac:dyDescent="0.2"/>
    <row r="270" s="57" customFormat="1" ht="15.75" customHeight="1" x14ac:dyDescent="0.2"/>
    <row r="271" s="57" customFormat="1" ht="15.75" customHeight="1" x14ac:dyDescent="0.2"/>
    <row r="272" s="57" customFormat="1" ht="15.75" customHeight="1" x14ac:dyDescent="0.2"/>
    <row r="273" s="57" customFormat="1" ht="15.75" customHeight="1" x14ac:dyDescent="0.2"/>
    <row r="274" s="57" customFormat="1" ht="15.75" customHeight="1" x14ac:dyDescent="0.2"/>
    <row r="275" s="57" customFormat="1" ht="15.75" customHeight="1" x14ac:dyDescent="0.2"/>
    <row r="276" s="57" customFormat="1" ht="15.75" customHeight="1" x14ac:dyDescent="0.2"/>
    <row r="277" s="57" customFormat="1" ht="15.75" customHeight="1" x14ac:dyDescent="0.2"/>
    <row r="278" s="57" customFormat="1" ht="15.75" customHeight="1" x14ac:dyDescent="0.2"/>
    <row r="279" s="57" customFormat="1" ht="15.75" customHeight="1" x14ac:dyDescent="0.2"/>
    <row r="280" s="57" customFormat="1" ht="15.75" customHeight="1" x14ac:dyDescent="0.2"/>
    <row r="281" s="57" customFormat="1" ht="15.75" customHeight="1" x14ac:dyDescent="0.2"/>
    <row r="282" s="57" customFormat="1" ht="15.75" customHeight="1" x14ac:dyDescent="0.2"/>
    <row r="283" s="57" customFormat="1" ht="15.75" customHeight="1" x14ac:dyDescent="0.2"/>
    <row r="284" s="57" customFormat="1" ht="15.75" customHeight="1" x14ac:dyDescent="0.2"/>
    <row r="285" s="57" customFormat="1" ht="15.75" customHeight="1" x14ac:dyDescent="0.2"/>
    <row r="286" s="57" customFormat="1" ht="15.75" customHeight="1" x14ac:dyDescent="0.2"/>
    <row r="287" s="57" customFormat="1" ht="15.75" customHeight="1" x14ac:dyDescent="0.2"/>
    <row r="288" s="57" customFormat="1" ht="15.75" customHeight="1" x14ac:dyDescent="0.2"/>
    <row r="289" s="57" customFormat="1" ht="15.75" customHeight="1" x14ac:dyDescent="0.2"/>
    <row r="290" s="57" customFormat="1" ht="15.75" customHeight="1" x14ac:dyDescent="0.2"/>
    <row r="291" s="57" customFormat="1" ht="15.75" customHeight="1" x14ac:dyDescent="0.2"/>
    <row r="292" s="57" customFormat="1" ht="15.75" customHeight="1" x14ac:dyDescent="0.2"/>
    <row r="293" s="57" customFormat="1" ht="15.75" customHeight="1" x14ac:dyDescent="0.2"/>
    <row r="294" s="57" customFormat="1" ht="15.75" customHeight="1" x14ac:dyDescent="0.2"/>
    <row r="295" s="57" customFormat="1" ht="15.75" customHeight="1" x14ac:dyDescent="0.2"/>
    <row r="296" s="57" customFormat="1" ht="15.75" customHeight="1" x14ac:dyDescent="0.2"/>
    <row r="297" s="57" customFormat="1" ht="15.75" customHeight="1" x14ac:dyDescent="0.2"/>
    <row r="298" s="57" customFormat="1" ht="15.75" customHeight="1" x14ac:dyDescent="0.2"/>
    <row r="299" s="57" customFormat="1" ht="15.75" customHeight="1" x14ac:dyDescent="0.2"/>
    <row r="300" s="57" customFormat="1" ht="15.75" customHeight="1" x14ac:dyDescent="0.2"/>
    <row r="301" s="57" customFormat="1" ht="15.75" customHeight="1" x14ac:dyDescent="0.2"/>
    <row r="302" s="57" customFormat="1" ht="15.75" customHeight="1" x14ac:dyDescent="0.2"/>
    <row r="303" s="57" customFormat="1" ht="15.75" customHeight="1" x14ac:dyDescent="0.2"/>
    <row r="304" s="57" customFormat="1" ht="15.75" customHeight="1" x14ac:dyDescent="0.2"/>
    <row r="305" s="57" customFormat="1" ht="15.75" customHeight="1" x14ac:dyDescent="0.2"/>
    <row r="306" s="57" customFormat="1" ht="15.75" customHeight="1" x14ac:dyDescent="0.2"/>
    <row r="307" s="57" customFormat="1" ht="15.75" customHeight="1" x14ac:dyDescent="0.2"/>
    <row r="308" s="57" customFormat="1" ht="15.75" customHeight="1" x14ac:dyDescent="0.2"/>
    <row r="309" s="57" customFormat="1" ht="15.75" customHeight="1" x14ac:dyDescent="0.2"/>
    <row r="310" s="57" customFormat="1" ht="15.75" customHeight="1" x14ac:dyDescent="0.2"/>
    <row r="311" s="57" customFormat="1" ht="15.75" customHeight="1" x14ac:dyDescent="0.2"/>
    <row r="312" s="57" customFormat="1" ht="15.75" customHeight="1" x14ac:dyDescent="0.2"/>
    <row r="313" s="57" customFormat="1" ht="15.75" customHeight="1" x14ac:dyDescent="0.2"/>
    <row r="314" s="57" customFormat="1" ht="15.75" customHeight="1" x14ac:dyDescent="0.2"/>
    <row r="315" s="57" customFormat="1" ht="15.75" customHeight="1" x14ac:dyDescent="0.2"/>
    <row r="316" s="57" customFormat="1" ht="15.75" customHeight="1" x14ac:dyDescent="0.2"/>
    <row r="317" s="57" customFormat="1" ht="15.75" customHeight="1" x14ac:dyDescent="0.2"/>
    <row r="318" s="57" customFormat="1" ht="15.75" customHeight="1" x14ac:dyDescent="0.2"/>
    <row r="319" s="57" customFormat="1" ht="15.75" customHeight="1" x14ac:dyDescent="0.2"/>
    <row r="320" s="57" customFormat="1" ht="15.75" customHeight="1" x14ac:dyDescent="0.2"/>
    <row r="321" s="57" customFormat="1" ht="15.75" customHeight="1" x14ac:dyDescent="0.2"/>
    <row r="322" s="57" customFormat="1" ht="15.75" customHeight="1" x14ac:dyDescent="0.2"/>
    <row r="323" s="57" customFormat="1" ht="15.75" customHeight="1" x14ac:dyDescent="0.2"/>
    <row r="324" s="57" customFormat="1" ht="15.75" customHeight="1" x14ac:dyDescent="0.2"/>
    <row r="325" s="57" customFormat="1" ht="15.75" customHeight="1" x14ac:dyDescent="0.2"/>
    <row r="326" s="57" customFormat="1" ht="15.75" customHeight="1" x14ac:dyDescent="0.2"/>
    <row r="327" s="57" customFormat="1" ht="15.75" customHeight="1" x14ac:dyDescent="0.2"/>
    <row r="328" s="57" customFormat="1" ht="15.75" customHeight="1" x14ac:dyDescent="0.2"/>
    <row r="329" s="57" customFormat="1" ht="15.75" customHeight="1" x14ac:dyDescent="0.2"/>
    <row r="330" s="57" customFormat="1" ht="15.75" customHeight="1" x14ac:dyDescent="0.2"/>
    <row r="331" s="57" customFormat="1" ht="15.75" customHeight="1" x14ac:dyDescent="0.2"/>
    <row r="332" s="57" customFormat="1" ht="15.75" customHeight="1" x14ac:dyDescent="0.2"/>
    <row r="333" s="57" customFormat="1" ht="15.75" customHeight="1" x14ac:dyDescent="0.2"/>
    <row r="334" s="57" customFormat="1" ht="15.75" customHeight="1" x14ac:dyDescent="0.2"/>
    <row r="335" s="57" customFormat="1" ht="15.75" customHeight="1" x14ac:dyDescent="0.2"/>
    <row r="336" s="57" customFormat="1" ht="15.75" customHeight="1" x14ac:dyDescent="0.2"/>
    <row r="337" s="57" customFormat="1" ht="15.75" customHeight="1" x14ac:dyDescent="0.2"/>
    <row r="338" s="57" customFormat="1" ht="15.75" customHeight="1" x14ac:dyDescent="0.2"/>
    <row r="339" s="57" customFormat="1" ht="15.75" customHeight="1" x14ac:dyDescent="0.2"/>
    <row r="340" s="57" customFormat="1" ht="15.75" customHeight="1" x14ac:dyDescent="0.2"/>
    <row r="341" s="57" customFormat="1" ht="15.75" customHeight="1" x14ac:dyDescent="0.2"/>
    <row r="342" s="57" customFormat="1" ht="15.75" customHeight="1" x14ac:dyDescent="0.2"/>
    <row r="343" s="57" customFormat="1" ht="15.75" customHeight="1" x14ac:dyDescent="0.2"/>
    <row r="344" s="57" customFormat="1" ht="15.75" customHeight="1" x14ac:dyDescent="0.2"/>
    <row r="345" s="57" customFormat="1" ht="15.75" customHeight="1" x14ac:dyDescent="0.2"/>
    <row r="346" s="57" customFormat="1" ht="15.75" customHeight="1" x14ac:dyDescent="0.2"/>
    <row r="347" s="57" customFormat="1" ht="15.75" customHeight="1" x14ac:dyDescent="0.2"/>
    <row r="348" s="57" customFormat="1" ht="15.75" customHeight="1" x14ac:dyDescent="0.2"/>
    <row r="349" s="57" customFormat="1" ht="15.75" customHeight="1" x14ac:dyDescent="0.2"/>
    <row r="350" s="57" customFormat="1" ht="15.75" customHeight="1" x14ac:dyDescent="0.2"/>
    <row r="351" s="57" customFormat="1" ht="15.75" customHeight="1" x14ac:dyDescent="0.2"/>
    <row r="352" s="57" customFormat="1" ht="15.75" customHeight="1" x14ac:dyDescent="0.2"/>
    <row r="353" s="57" customFormat="1" ht="15.75" customHeight="1" x14ac:dyDescent="0.2"/>
    <row r="354" s="57" customFormat="1" ht="15.75" customHeight="1" x14ac:dyDescent="0.2"/>
    <row r="355" s="57" customFormat="1" ht="15.75" customHeight="1" x14ac:dyDescent="0.2"/>
    <row r="356" s="57" customFormat="1" ht="15.75" customHeight="1" x14ac:dyDescent="0.2"/>
    <row r="357" s="57" customFormat="1" ht="15.75" customHeight="1" x14ac:dyDescent="0.2"/>
    <row r="358" s="57" customFormat="1" ht="15.75" customHeight="1" x14ac:dyDescent="0.2"/>
    <row r="359" s="57" customFormat="1" ht="15.75" customHeight="1" x14ac:dyDescent="0.2"/>
    <row r="360" s="57" customFormat="1" ht="15.75" customHeight="1" x14ac:dyDescent="0.2"/>
    <row r="361" s="57" customFormat="1" ht="15.75" customHeight="1" x14ac:dyDescent="0.2"/>
    <row r="362" s="57" customFormat="1" ht="15.75" customHeight="1" x14ac:dyDescent="0.2"/>
    <row r="363" s="57" customFormat="1" ht="15.75" customHeight="1" x14ac:dyDescent="0.2"/>
    <row r="364" s="57" customFormat="1" ht="15.75" customHeight="1" x14ac:dyDescent="0.2"/>
    <row r="365" s="57" customFormat="1" ht="15.75" customHeight="1" x14ac:dyDescent="0.2"/>
    <row r="366" s="57" customFormat="1" ht="15.75" customHeight="1" x14ac:dyDescent="0.2"/>
    <row r="367" s="57" customFormat="1" ht="15.75" customHeight="1" x14ac:dyDescent="0.2"/>
    <row r="368" s="57" customFormat="1" ht="15.75" customHeight="1" x14ac:dyDescent="0.2"/>
    <row r="369" s="57" customFormat="1" ht="15.75" customHeight="1" x14ac:dyDescent="0.2"/>
    <row r="370" s="57" customFormat="1" ht="15.75" customHeight="1" x14ac:dyDescent="0.2"/>
    <row r="371" s="57" customFormat="1" ht="15.75" customHeight="1" x14ac:dyDescent="0.2"/>
    <row r="372" s="57" customFormat="1" ht="15.75" customHeight="1" x14ac:dyDescent="0.2"/>
    <row r="373" s="57" customFormat="1" ht="15.75" customHeight="1" x14ac:dyDescent="0.2"/>
    <row r="374" s="57" customFormat="1" ht="15.75" customHeight="1" x14ac:dyDescent="0.2"/>
    <row r="375" s="57" customFormat="1" ht="15.75" customHeight="1" x14ac:dyDescent="0.2"/>
    <row r="376" s="57" customFormat="1" ht="15.75" customHeight="1" x14ac:dyDescent="0.2"/>
    <row r="377" s="57" customFormat="1" ht="15.75" customHeight="1" x14ac:dyDescent="0.2"/>
    <row r="378" s="57" customFormat="1" ht="15.75" customHeight="1" x14ac:dyDescent="0.2"/>
    <row r="379" s="57" customFormat="1" ht="15.75" customHeight="1" x14ac:dyDescent="0.2"/>
    <row r="380" s="57" customFormat="1" ht="15.75" customHeight="1" x14ac:dyDescent="0.2"/>
    <row r="381" s="57" customFormat="1" ht="15.75" customHeight="1" x14ac:dyDescent="0.2"/>
    <row r="382" s="57" customFormat="1" ht="15.75" customHeight="1" x14ac:dyDescent="0.2"/>
    <row r="383" s="57" customFormat="1" ht="15.75" customHeight="1" x14ac:dyDescent="0.2"/>
    <row r="384" s="57" customFormat="1" ht="15.75" customHeight="1" x14ac:dyDescent="0.2"/>
    <row r="385" s="57" customFormat="1" ht="15.75" customHeight="1" x14ac:dyDescent="0.2"/>
    <row r="386" s="57" customFormat="1" ht="15.75" customHeight="1" x14ac:dyDescent="0.2"/>
    <row r="387" s="57" customFormat="1" ht="15.75" customHeight="1" x14ac:dyDescent="0.2"/>
    <row r="388" s="57" customFormat="1" ht="15.75" customHeight="1" x14ac:dyDescent="0.2"/>
    <row r="389" s="57" customFormat="1" ht="15.75" customHeight="1" x14ac:dyDescent="0.2"/>
    <row r="390" s="57" customFormat="1" ht="15.75" customHeight="1" x14ac:dyDescent="0.2"/>
    <row r="391" s="57" customFormat="1" ht="15.75" customHeight="1" x14ac:dyDescent="0.2"/>
    <row r="392" s="57" customFormat="1" ht="15.75" customHeight="1" x14ac:dyDescent="0.2"/>
    <row r="393" s="57" customFormat="1" ht="15.75" customHeight="1" x14ac:dyDescent="0.2"/>
    <row r="394" s="57" customFormat="1" ht="15.75" customHeight="1" x14ac:dyDescent="0.2"/>
    <row r="395" s="57" customFormat="1" ht="15.75" customHeight="1" x14ac:dyDescent="0.2"/>
    <row r="396" s="57" customFormat="1" ht="15.75" customHeight="1" x14ac:dyDescent="0.2"/>
    <row r="397" s="57" customFormat="1" ht="15.75" customHeight="1" x14ac:dyDescent="0.2"/>
    <row r="398" s="57" customFormat="1" ht="15.75" customHeight="1" x14ac:dyDescent="0.2"/>
    <row r="399" s="57" customFormat="1" ht="15.75" customHeight="1" x14ac:dyDescent="0.2"/>
    <row r="400" s="57" customFormat="1" ht="15.75" customHeight="1" x14ac:dyDescent="0.2"/>
    <row r="401" s="57" customFormat="1" ht="15.75" customHeight="1" x14ac:dyDescent="0.2"/>
    <row r="402" s="57" customFormat="1" ht="15.75" customHeight="1" x14ac:dyDescent="0.2"/>
    <row r="403" s="57" customFormat="1" ht="15.75" customHeight="1" x14ac:dyDescent="0.2"/>
    <row r="404" s="57" customFormat="1" ht="15.75" customHeight="1" x14ac:dyDescent="0.2"/>
    <row r="405" s="57" customFormat="1" ht="15.75" customHeight="1" x14ac:dyDescent="0.2"/>
    <row r="406" s="57" customFormat="1" ht="15.75" customHeight="1" x14ac:dyDescent="0.2"/>
    <row r="407" s="57" customFormat="1" ht="15.75" customHeight="1" x14ac:dyDescent="0.2"/>
    <row r="408" s="57" customFormat="1" ht="15.75" customHeight="1" x14ac:dyDescent="0.2"/>
    <row r="409" s="57" customFormat="1" ht="15.75" customHeight="1" x14ac:dyDescent="0.2"/>
    <row r="410" s="57" customFormat="1" ht="15.75" customHeight="1" x14ac:dyDescent="0.2"/>
    <row r="411" s="57" customFormat="1" ht="15.75" customHeight="1" x14ac:dyDescent="0.2"/>
    <row r="412" s="57" customFormat="1" ht="15.75" customHeight="1" x14ac:dyDescent="0.2"/>
    <row r="413" s="57" customFormat="1" ht="15.75" customHeight="1" x14ac:dyDescent="0.2"/>
    <row r="414" s="57" customFormat="1" ht="15.75" customHeight="1" x14ac:dyDescent="0.2"/>
    <row r="415" s="57" customFormat="1" ht="15.75" customHeight="1" x14ac:dyDescent="0.2"/>
    <row r="416" s="57" customFormat="1" ht="15.75" customHeight="1" x14ac:dyDescent="0.2"/>
    <row r="417" s="57" customFormat="1" ht="15.75" customHeight="1" x14ac:dyDescent="0.2"/>
    <row r="418" s="57" customFormat="1" ht="15.75" customHeight="1" x14ac:dyDescent="0.2"/>
    <row r="419" s="57" customFormat="1" ht="15.75" customHeight="1" x14ac:dyDescent="0.2"/>
    <row r="420" s="57" customFormat="1" ht="15.75" customHeight="1" x14ac:dyDescent="0.2"/>
    <row r="421" s="57" customFormat="1" ht="15.75" customHeight="1" x14ac:dyDescent="0.2"/>
    <row r="422" s="57" customFormat="1" ht="15.75" customHeight="1" x14ac:dyDescent="0.2"/>
    <row r="423" s="57" customFormat="1" ht="15.75" customHeight="1" x14ac:dyDescent="0.2"/>
    <row r="424" s="57" customFormat="1" ht="15.75" customHeight="1" x14ac:dyDescent="0.2"/>
    <row r="425" s="57" customFormat="1" ht="15.75" customHeight="1" x14ac:dyDescent="0.2"/>
    <row r="426" s="57" customFormat="1" ht="15.75" customHeight="1" x14ac:dyDescent="0.2"/>
    <row r="427" s="57" customFormat="1" ht="15.75" customHeight="1" x14ac:dyDescent="0.2"/>
    <row r="428" s="57" customFormat="1" ht="15.75" customHeight="1" x14ac:dyDescent="0.2"/>
    <row r="429" s="57" customFormat="1" ht="15.75" customHeight="1" x14ac:dyDescent="0.2"/>
    <row r="430" s="57" customFormat="1" ht="15.75" customHeight="1" x14ac:dyDescent="0.2"/>
    <row r="431" s="57" customFormat="1" ht="15.75" customHeight="1" x14ac:dyDescent="0.2"/>
    <row r="432" s="57" customFormat="1" ht="15.75" customHeight="1" x14ac:dyDescent="0.2"/>
    <row r="433" s="57" customFormat="1" ht="15.75" customHeight="1" x14ac:dyDescent="0.2"/>
    <row r="434" s="57" customFormat="1" ht="15.75" customHeight="1" x14ac:dyDescent="0.2"/>
    <row r="435" s="57" customFormat="1" ht="15.75" customHeight="1" x14ac:dyDescent="0.2"/>
    <row r="436" s="57" customFormat="1" ht="15.75" customHeight="1" x14ac:dyDescent="0.2"/>
    <row r="437" s="57" customFormat="1" ht="15.75" customHeight="1" x14ac:dyDescent="0.2"/>
    <row r="438" s="57" customFormat="1" ht="15.75" customHeight="1" x14ac:dyDescent="0.2"/>
    <row r="439" s="57" customFormat="1" ht="15.75" customHeight="1" x14ac:dyDescent="0.2"/>
    <row r="440" s="57" customFormat="1" ht="15.75" customHeight="1" x14ac:dyDescent="0.2"/>
    <row r="441" s="57" customFormat="1" ht="15.75" customHeight="1" x14ac:dyDescent="0.2"/>
    <row r="442" s="57" customFormat="1" ht="15.75" customHeight="1" x14ac:dyDescent="0.2"/>
    <row r="443" s="57" customFormat="1" ht="15.75" customHeight="1" x14ac:dyDescent="0.2"/>
    <row r="444" s="57" customFormat="1" ht="15.75" customHeight="1" x14ac:dyDescent="0.2"/>
    <row r="445" s="57" customFormat="1" ht="15.75" customHeight="1" x14ac:dyDescent="0.2"/>
    <row r="446" s="57" customFormat="1" ht="15.75" customHeight="1" x14ac:dyDescent="0.2"/>
    <row r="447" s="57" customFormat="1" ht="15.75" customHeight="1" x14ac:dyDescent="0.2"/>
    <row r="448" s="57" customFormat="1" ht="15.75" customHeight="1" x14ac:dyDescent="0.2"/>
    <row r="449" s="57" customFormat="1" ht="15.75" customHeight="1" x14ac:dyDescent="0.2"/>
    <row r="450" s="57" customFormat="1" ht="15.75" customHeight="1" x14ac:dyDescent="0.2"/>
    <row r="451" s="57" customFormat="1" ht="15.75" customHeight="1" x14ac:dyDescent="0.2"/>
    <row r="452" s="57" customFormat="1" ht="15.75" customHeight="1" x14ac:dyDescent="0.2"/>
    <row r="453" s="57" customFormat="1" ht="15.75" customHeight="1" x14ac:dyDescent="0.2"/>
    <row r="454" s="57" customFormat="1" ht="15.75" customHeight="1" x14ac:dyDescent="0.2"/>
    <row r="455" s="57" customFormat="1" ht="15.75" customHeight="1" x14ac:dyDescent="0.2"/>
    <row r="456" s="57" customFormat="1" ht="15.75" customHeight="1" x14ac:dyDescent="0.2"/>
    <row r="457" s="57" customFormat="1" ht="15.75" customHeight="1" x14ac:dyDescent="0.2"/>
    <row r="458" s="57" customFormat="1" ht="15.75" customHeight="1" x14ac:dyDescent="0.2"/>
    <row r="459" s="57" customFormat="1" ht="15.75" customHeight="1" x14ac:dyDescent="0.2"/>
    <row r="460" s="57" customFormat="1" ht="15.75" customHeight="1" x14ac:dyDescent="0.2"/>
    <row r="461" s="57" customFormat="1" ht="15.75" customHeight="1" x14ac:dyDescent="0.2"/>
    <row r="462" s="57" customFormat="1" ht="15.75" customHeight="1" x14ac:dyDescent="0.2"/>
    <row r="463" s="57" customFormat="1" ht="15.75" customHeight="1" x14ac:dyDescent="0.2"/>
    <row r="464" s="57" customFormat="1" ht="15.75" customHeight="1" x14ac:dyDescent="0.2"/>
    <row r="465" s="57" customFormat="1" ht="15.75" customHeight="1" x14ac:dyDescent="0.2"/>
    <row r="466" s="57" customFormat="1" ht="15.75" customHeight="1" x14ac:dyDescent="0.2"/>
    <row r="467" s="57" customFormat="1" ht="15.75" customHeight="1" x14ac:dyDescent="0.2"/>
    <row r="468" s="57" customFormat="1" ht="15.75" customHeight="1" x14ac:dyDescent="0.2"/>
    <row r="469" s="57" customFormat="1" ht="15.75" customHeight="1" x14ac:dyDescent="0.2"/>
    <row r="470" s="57" customFormat="1" ht="15.75" customHeight="1" x14ac:dyDescent="0.2"/>
    <row r="471" s="57" customFormat="1" ht="15.75" customHeight="1" x14ac:dyDescent="0.2"/>
    <row r="472" s="57" customFormat="1" ht="15.75" customHeight="1" x14ac:dyDescent="0.2"/>
    <row r="473" s="57" customFormat="1" ht="15.75" customHeight="1" x14ac:dyDescent="0.2"/>
    <row r="474" s="57" customFormat="1" ht="15.75" customHeight="1" x14ac:dyDescent="0.2"/>
    <row r="475" s="57" customFormat="1" ht="15.75" customHeight="1" x14ac:dyDescent="0.2"/>
    <row r="476" s="57" customFormat="1" ht="15.75" customHeight="1" x14ac:dyDescent="0.2"/>
    <row r="477" s="57" customFormat="1" ht="15.75" customHeight="1" x14ac:dyDescent="0.2"/>
    <row r="478" s="57" customFormat="1" ht="15.75" customHeight="1" x14ac:dyDescent="0.2"/>
    <row r="479" s="57" customFormat="1" ht="15.75" customHeight="1" x14ac:dyDescent="0.2"/>
    <row r="480" s="57" customFormat="1" ht="15.75" customHeight="1" x14ac:dyDescent="0.2"/>
    <row r="481" s="57" customFormat="1" ht="15.75" customHeight="1" x14ac:dyDescent="0.2"/>
    <row r="482" s="57" customFormat="1" ht="15.75" customHeight="1" x14ac:dyDescent="0.2"/>
    <row r="483" s="57" customFormat="1" ht="15.75" customHeight="1" x14ac:dyDescent="0.2"/>
    <row r="484" s="57" customFormat="1" ht="15.75" customHeight="1" x14ac:dyDescent="0.2"/>
    <row r="485" s="57" customFormat="1" ht="15.75" customHeight="1" x14ac:dyDescent="0.2"/>
    <row r="486" s="57" customFormat="1" ht="15.75" customHeight="1" x14ac:dyDescent="0.2"/>
    <row r="487" s="57" customFormat="1" ht="15.75" customHeight="1" x14ac:dyDescent="0.2"/>
    <row r="488" s="57" customFormat="1" ht="15.75" customHeight="1" x14ac:dyDescent="0.2"/>
    <row r="489" s="57" customFormat="1" ht="15.75" customHeight="1" x14ac:dyDescent="0.2"/>
    <row r="490" s="57" customFormat="1" ht="15.75" customHeight="1" x14ac:dyDescent="0.2"/>
    <row r="491" s="57" customFormat="1" ht="15.75" customHeight="1" x14ac:dyDescent="0.2"/>
    <row r="492" s="57" customFormat="1" ht="15.75" customHeight="1" x14ac:dyDescent="0.2"/>
    <row r="493" s="57" customFormat="1" ht="15.75" customHeight="1" x14ac:dyDescent="0.2"/>
    <row r="494" s="57" customFormat="1" ht="15.75" customHeight="1" x14ac:dyDescent="0.2"/>
    <row r="495" s="57" customFormat="1" ht="15.75" customHeight="1" x14ac:dyDescent="0.2"/>
    <row r="496" s="57" customFormat="1" ht="15.75" customHeight="1" x14ac:dyDescent="0.2"/>
    <row r="497" s="57" customFormat="1" ht="15.75" customHeight="1" x14ac:dyDescent="0.2"/>
    <row r="498" s="57" customFormat="1" ht="15.75" customHeight="1" x14ac:dyDescent="0.2"/>
    <row r="499" s="57" customFormat="1" ht="15.75" customHeight="1" x14ac:dyDescent="0.2"/>
    <row r="500" s="57" customFormat="1" ht="15.75" customHeight="1" x14ac:dyDescent="0.2"/>
    <row r="501" s="57" customFormat="1" ht="15.75" customHeight="1" x14ac:dyDescent="0.2"/>
    <row r="502" s="57" customFormat="1" ht="15.75" customHeight="1" x14ac:dyDescent="0.2"/>
    <row r="503" s="57" customFormat="1" ht="15.75" customHeight="1" x14ac:dyDescent="0.2"/>
    <row r="504" s="57" customFormat="1" ht="15.75" customHeight="1" x14ac:dyDescent="0.2"/>
    <row r="505" s="57" customFormat="1" ht="15.75" customHeight="1" x14ac:dyDescent="0.2"/>
    <row r="506" s="57" customFormat="1" ht="15.75" customHeight="1" x14ac:dyDescent="0.2"/>
    <row r="507" s="57" customFormat="1" ht="15.75" customHeight="1" x14ac:dyDescent="0.2"/>
    <row r="508" s="57" customFormat="1" ht="15.75" customHeight="1" x14ac:dyDescent="0.2"/>
    <row r="509" s="57" customFormat="1" ht="15.75" customHeight="1" x14ac:dyDescent="0.2"/>
    <row r="510" s="57" customFormat="1" ht="15.75" customHeight="1" x14ac:dyDescent="0.2"/>
    <row r="511" s="57" customFormat="1" ht="15.75" customHeight="1" x14ac:dyDescent="0.2"/>
    <row r="512" s="57" customFormat="1" ht="15.75" customHeight="1" x14ac:dyDescent="0.2"/>
    <row r="513" s="57" customFormat="1" ht="15.75" customHeight="1" x14ac:dyDescent="0.2"/>
    <row r="514" s="57" customFormat="1" ht="15.75" customHeight="1" x14ac:dyDescent="0.2"/>
    <row r="515" s="57" customFormat="1" ht="15.75" customHeight="1" x14ac:dyDescent="0.2"/>
    <row r="516" s="57" customFormat="1" ht="15.75" customHeight="1" x14ac:dyDescent="0.2"/>
    <row r="517" s="57" customFormat="1" ht="15.75" customHeight="1" x14ac:dyDescent="0.2"/>
    <row r="518" s="57" customFormat="1" ht="15.75" customHeight="1" x14ac:dyDescent="0.2"/>
    <row r="519" s="57" customFormat="1" ht="15.75" customHeight="1" x14ac:dyDescent="0.2"/>
    <row r="520" s="57" customFormat="1" ht="15.75" customHeight="1" x14ac:dyDescent="0.2"/>
    <row r="521" s="57" customFormat="1" ht="15.75" customHeight="1" x14ac:dyDescent="0.2"/>
    <row r="522" s="57" customFormat="1" ht="15.75" customHeight="1" x14ac:dyDescent="0.2"/>
    <row r="523" s="57" customFormat="1" ht="15.75" customHeight="1" x14ac:dyDescent="0.2"/>
    <row r="524" s="57" customFormat="1" ht="15.75" customHeight="1" x14ac:dyDescent="0.2"/>
    <row r="525" s="57" customFormat="1" ht="15.75" customHeight="1" x14ac:dyDescent="0.2"/>
    <row r="526" s="57" customFormat="1" ht="15.75" customHeight="1" x14ac:dyDescent="0.2"/>
    <row r="527" s="57" customFormat="1" ht="15.75" customHeight="1" x14ac:dyDescent="0.2"/>
    <row r="528" s="57" customFormat="1" ht="15.75" customHeight="1" x14ac:dyDescent="0.2"/>
    <row r="529" s="57" customFormat="1" ht="15.75" customHeight="1" x14ac:dyDescent="0.2"/>
    <row r="530" s="57" customFormat="1" ht="15.75" customHeight="1" x14ac:dyDescent="0.2"/>
    <row r="531" s="57" customFormat="1" ht="15.75" customHeight="1" x14ac:dyDescent="0.2"/>
    <row r="532" s="57" customFormat="1" ht="15.75" customHeight="1" x14ac:dyDescent="0.2"/>
    <row r="533" s="57" customFormat="1" ht="15.75" customHeight="1" x14ac:dyDescent="0.2"/>
    <row r="534" s="57" customFormat="1" ht="15.75" customHeight="1" x14ac:dyDescent="0.2"/>
    <row r="535" s="57" customFormat="1" ht="15.75" customHeight="1" x14ac:dyDescent="0.2"/>
    <row r="536" s="57" customFormat="1" ht="15.75" customHeight="1" x14ac:dyDescent="0.2"/>
    <row r="537" s="57" customFormat="1" ht="15.75" customHeight="1" x14ac:dyDescent="0.2"/>
    <row r="538" s="57" customFormat="1" ht="15.75" customHeight="1" x14ac:dyDescent="0.2"/>
    <row r="539" s="57" customFormat="1" ht="15.75" customHeight="1" x14ac:dyDescent="0.2"/>
    <row r="540" s="57" customFormat="1" ht="15.75" customHeight="1" x14ac:dyDescent="0.2"/>
    <row r="541" s="57" customFormat="1" ht="15.75" customHeight="1" x14ac:dyDescent="0.2"/>
    <row r="542" s="57" customFormat="1" ht="15.75" customHeight="1" x14ac:dyDescent="0.2"/>
    <row r="543" s="57" customFormat="1" ht="15.75" customHeight="1" x14ac:dyDescent="0.2"/>
    <row r="544" s="57" customFormat="1" ht="15.75" customHeight="1" x14ac:dyDescent="0.2"/>
    <row r="545" s="57" customFormat="1" ht="15.75" customHeight="1" x14ac:dyDescent="0.2"/>
    <row r="546" s="57" customFormat="1" ht="15.75" customHeight="1" x14ac:dyDescent="0.2"/>
    <row r="547" s="57" customFormat="1" ht="15.75" customHeight="1" x14ac:dyDescent="0.2"/>
    <row r="548" s="57" customFormat="1" ht="15.75" customHeight="1" x14ac:dyDescent="0.2"/>
    <row r="549" s="57" customFormat="1" ht="15.75" customHeight="1" x14ac:dyDescent="0.2"/>
    <row r="550" s="57" customFormat="1" ht="15.75" customHeight="1" x14ac:dyDescent="0.2"/>
    <row r="551" s="57" customFormat="1" ht="15.75" customHeight="1" x14ac:dyDescent="0.2"/>
    <row r="552" s="57" customFormat="1" ht="15.75" customHeight="1" x14ac:dyDescent="0.2"/>
    <row r="553" s="57" customFormat="1" ht="15.75" customHeight="1" x14ac:dyDescent="0.2"/>
    <row r="554" s="57" customFormat="1" ht="15.75" customHeight="1" x14ac:dyDescent="0.2"/>
    <row r="555" s="57" customFormat="1" ht="15.75" customHeight="1" x14ac:dyDescent="0.2"/>
    <row r="556" s="57" customFormat="1" ht="15.75" customHeight="1" x14ac:dyDescent="0.2"/>
    <row r="557" s="57" customFormat="1" ht="15.75" customHeight="1" x14ac:dyDescent="0.2"/>
    <row r="558" s="57" customFormat="1" ht="15.75" customHeight="1" x14ac:dyDescent="0.2"/>
    <row r="559" s="57" customFormat="1" ht="15.75" customHeight="1" x14ac:dyDescent="0.2"/>
    <row r="560" s="57" customFormat="1" ht="15.75" customHeight="1" x14ac:dyDescent="0.2"/>
    <row r="561" s="57" customFormat="1" ht="15.75" customHeight="1" x14ac:dyDescent="0.2"/>
    <row r="562" s="57" customFormat="1" ht="15.75" customHeight="1" x14ac:dyDescent="0.2"/>
    <row r="563" s="57" customFormat="1" ht="15.75" customHeight="1" x14ac:dyDescent="0.2"/>
    <row r="564" s="57" customFormat="1" ht="15.75" customHeight="1" x14ac:dyDescent="0.2"/>
    <row r="565" s="57" customFormat="1" ht="15.75" customHeight="1" x14ac:dyDescent="0.2"/>
    <row r="566" s="57" customFormat="1" ht="15.75" customHeight="1" x14ac:dyDescent="0.2"/>
    <row r="567" s="57" customFormat="1" ht="15.75" customHeight="1" x14ac:dyDescent="0.2"/>
    <row r="568" s="57" customFormat="1" ht="15.75" customHeight="1" x14ac:dyDescent="0.2"/>
    <row r="569" s="57" customFormat="1" ht="15.75" customHeight="1" x14ac:dyDescent="0.2"/>
    <row r="570" s="57" customFormat="1" ht="15.75" customHeight="1" x14ac:dyDescent="0.2"/>
    <row r="571" s="57" customFormat="1" ht="15.75" customHeight="1" x14ac:dyDescent="0.2"/>
    <row r="572" s="57" customFormat="1" ht="15.75" customHeight="1" x14ac:dyDescent="0.2"/>
    <row r="573" s="57" customFormat="1" ht="15.75" customHeight="1" x14ac:dyDescent="0.2"/>
    <row r="574" s="57" customFormat="1" ht="15.75" customHeight="1" x14ac:dyDescent="0.2"/>
    <row r="575" s="57" customFormat="1" ht="15.75" customHeight="1" x14ac:dyDescent="0.2"/>
    <row r="576" s="57" customFormat="1" ht="15.75" customHeight="1" x14ac:dyDescent="0.2"/>
    <row r="577" s="57" customFormat="1" ht="15.75" customHeight="1" x14ac:dyDescent="0.2"/>
    <row r="578" s="57" customFormat="1" ht="15.75" customHeight="1" x14ac:dyDescent="0.2"/>
    <row r="579" s="57" customFormat="1" ht="15.75" customHeight="1" x14ac:dyDescent="0.2"/>
    <row r="580" s="57" customFormat="1" ht="15.75" customHeight="1" x14ac:dyDescent="0.2"/>
    <row r="581" s="57" customFormat="1" ht="15.75" customHeight="1" x14ac:dyDescent="0.2"/>
    <row r="582" s="57" customFormat="1" ht="15.75" customHeight="1" x14ac:dyDescent="0.2"/>
    <row r="583" s="57" customFormat="1" ht="15.75" customHeight="1" x14ac:dyDescent="0.2"/>
    <row r="584" s="57" customFormat="1" ht="15.75" customHeight="1" x14ac:dyDescent="0.2"/>
    <row r="585" s="57" customFormat="1" ht="15.75" customHeight="1" x14ac:dyDescent="0.2"/>
    <row r="586" s="57" customFormat="1" ht="15.75" customHeight="1" x14ac:dyDescent="0.2"/>
    <row r="587" s="57" customFormat="1" ht="15.75" customHeight="1" x14ac:dyDescent="0.2"/>
    <row r="588" s="57" customFormat="1" ht="15.75" customHeight="1" x14ac:dyDescent="0.2"/>
    <row r="589" s="57" customFormat="1" ht="15.75" customHeight="1" x14ac:dyDescent="0.2"/>
    <row r="590" s="57" customFormat="1" ht="15.75" customHeight="1" x14ac:dyDescent="0.2"/>
    <row r="591" s="57" customFormat="1" ht="15.75" customHeight="1" x14ac:dyDescent="0.2"/>
    <row r="592" s="57" customFormat="1" ht="15.75" customHeight="1" x14ac:dyDescent="0.2"/>
    <row r="593" s="57" customFormat="1" ht="15.75" customHeight="1" x14ac:dyDescent="0.2"/>
    <row r="594" s="57" customFormat="1" ht="15.75" customHeight="1" x14ac:dyDescent="0.2"/>
    <row r="595" s="57" customFormat="1" ht="15.75" customHeight="1" x14ac:dyDescent="0.2"/>
    <row r="596" s="57" customFormat="1" ht="15.75" customHeight="1" x14ac:dyDescent="0.2"/>
    <row r="597" s="57" customFormat="1" ht="15.75" customHeight="1" x14ac:dyDescent="0.2"/>
    <row r="598" s="57" customFormat="1" ht="15.75" customHeight="1" x14ac:dyDescent="0.2"/>
    <row r="599" s="57" customFormat="1" ht="15.75" customHeight="1" x14ac:dyDescent="0.2"/>
    <row r="600" s="57" customFormat="1" ht="15.75" customHeight="1" x14ac:dyDescent="0.2"/>
    <row r="601" s="57" customFormat="1" ht="15.75" customHeight="1" x14ac:dyDescent="0.2"/>
    <row r="602" s="57" customFormat="1" ht="15.75" customHeight="1" x14ac:dyDescent="0.2"/>
    <row r="603" s="57" customFormat="1" ht="15.75" customHeight="1" x14ac:dyDescent="0.2"/>
    <row r="604" s="57" customFormat="1" ht="15.75" customHeight="1" x14ac:dyDescent="0.2"/>
    <row r="605" s="57" customFormat="1" ht="15.75" customHeight="1" x14ac:dyDescent="0.2"/>
    <row r="606" s="57" customFormat="1" ht="15.75" customHeight="1" x14ac:dyDescent="0.2"/>
    <row r="607" s="57" customFormat="1" ht="15.75" customHeight="1" x14ac:dyDescent="0.2"/>
    <row r="608" s="57" customFormat="1" ht="15.75" customHeight="1" x14ac:dyDescent="0.2"/>
    <row r="609" s="57" customFormat="1" ht="15.75" customHeight="1" x14ac:dyDescent="0.2"/>
    <row r="610" s="57" customFormat="1" ht="15.75" customHeight="1" x14ac:dyDescent="0.2"/>
    <row r="611" s="57" customFormat="1" ht="15.75" customHeight="1" x14ac:dyDescent="0.2"/>
    <row r="612" s="57" customFormat="1" ht="15.75" customHeight="1" x14ac:dyDescent="0.2"/>
    <row r="613" s="57" customFormat="1" ht="15.75" customHeight="1" x14ac:dyDescent="0.2"/>
    <row r="614" s="57" customFormat="1" ht="15.75" customHeight="1" x14ac:dyDescent="0.2"/>
    <row r="615" s="57" customFormat="1" ht="15.75" customHeight="1" x14ac:dyDescent="0.2"/>
    <row r="616" s="57" customFormat="1" ht="15.75" customHeight="1" x14ac:dyDescent="0.2"/>
    <row r="617" s="57" customFormat="1" ht="15.75" customHeight="1" x14ac:dyDescent="0.2"/>
    <row r="618" s="57" customFormat="1" ht="15.75" customHeight="1" x14ac:dyDescent="0.2"/>
    <row r="619" s="57" customFormat="1" ht="15.75" customHeight="1" x14ac:dyDescent="0.2"/>
    <row r="620" s="57" customFormat="1" ht="15.75" customHeight="1" x14ac:dyDescent="0.2"/>
    <row r="621" s="57" customFormat="1" ht="15.75" customHeight="1" x14ac:dyDescent="0.2"/>
    <row r="622" s="57" customFormat="1" ht="15.75" customHeight="1" x14ac:dyDescent="0.2"/>
    <row r="623" s="57" customFormat="1" ht="15.75" customHeight="1" x14ac:dyDescent="0.2"/>
    <row r="624" s="57" customFormat="1" ht="15.75" customHeight="1" x14ac:dyDescent="0.2"/>
    <row r="625" s="57" customFormat="1" ht="15.75" customHeight="1" x14ac:dyDescent="0.2"/>
    <row r="626" s="57" customFormat="1" ht="15.75" customHeight="1" x14ac:dyDescent="0.2"/>
    <row r="627" s="57" customFormat="1" ht="15.75" customHeight="1" x14ac:dyDescent="0.2"/>
    <row r="628" s="57" customFormat="1" ht="15.75" customHeight="1" x14ac:dyDescent="0.2"/>
    <row r="629" s="57" customFormat="1" ht="15.75" customHeight="1" x14ac:dyDescent="0.2"/>
    <row r="630" s="57" customFormat="1" ht="15.75" customHeight="1" x14ac:dyDescent="0.2"/>
    <row r="631" s="57" customFormat="1" ht="15.75" customHeight="1" x14ac:dyDescent="0.2"/>
    <row r="632" s="57" customFormat="1" ht="15.75" customHeight="1" x14ac:dyDescent="0.2"/>
    <row r="633" s="57" customFormat="1" ht="15.75" customHeight="1" x14ac:dyDescent="0.2"/>
    <row r="634" s="57" customFormat="1" ht="15.75" customHeight="1" x14ac:dyDescent="0.2"/>
    <row r="635" s="57" customFormat="1" ht="15.75" customHeight="1" x14ac:dyDescent="0.2"/>
    <row r="636" s="57" customFormat="1" ht="15.75" customHeight="1" x14ac:dyDescent="0.2"/>
    <row r="637" s="57" customFormat="1" ht="15.75" customHeight="1" x14ac:dyDescent="0.2"/>
    <row r="638" s="57" customFormat="1" ht="15.75" customHeight="1" x14ac:dyDescent="0.2"/>
    <row r="639" s="57" customFormat="1" ht="15.75" customHeight="1" x14ac:dyDescent="0.2"/>
    <row r="640" s="57" customFormat="1" ht="15.75" customHeight="1" x14ac:dyDescent="0.2"/>
    <row r="641" s="57" customFormat="1" ht="15.75" customHeight="1" x14ac:dyDescent="0.2"/>
    <row r="642" s="57" customFormat="1" ht="15.75" customHeight="1" x14ac:dyDescent="0.2"/>
    <row r="643" s="57" customFormat="1" ht="15.75" customHeight="1" x14ac:dyDescent="0.2"/>
    <row r="644" s="57" customFormat="1" ht="15.75" customHeight="1" x14ac:dyDescent="0.2"/>
    <row r="645" s="57" customFormat="1" ht="15.75" customHeight="1" x14ac:dyDescent="0.2"/>
    <row r="646" s="57" customFormat="1" ht="15.75" customHeight="1" x14ac:dyDescent="0.2"/>
    <row r="647" s="57" customFormat="1" ht="15.75" customHeight="1" x14ac:dyDescent="0.2"/>
    <row r="648" s="57" customFormat="1" ht="15.75" customHeight="1" x14ac:dyDescent="0.2"/>
    <row r="649" s="57" customFormat="1" ht="15.75" customHeight="1" x14ac:dyDescent="0.2"/>
    <row r="650" s="57" customFormat="1" ht="15.75" customHeight="1" x14ac:dyDescent="0.2"/>
    <row r="651" s="57" customFormat="1" ht="15.75" customHeight="1" x14ac:dyDescent="0.2"/>
    <row r="652" s="57" customFormat="1" ht="15.75" customHeight="1" x14ac:dyDescent="0.2"/>
    <row r="653" s="57" customFormat="1" ht="15.75" customHeight="1" x14ac:dyDescent="0.2"/>
    <row r="654" s="57" customFormat="1" ht="15.75" customHeight="1" x14ac:dyDescent="0.2"/>
    <row r="655" s="57" customFormat="1" ht="15.75" customHeight="1" x14ac:dyDescent="0.2"/>
    <row r="656" s="57" customFormat="1" ht="15.75" customHeight="1" x14ac:dyDescent="0.2"/>
    <row r="657" s="57" customFormat="1" ht="15.75" customHeight="1" x14ac:dyDescent="0.2"/>
    <row r="658" s="57" customFormat="1" ht="15.75" customHeight="1" x14ac:dyDescent="0.2"/>
    <row r="659" s="57" customFormat="1" ht="15.75" customHeight="1" x14ac:dyDescent="0.2"/>
    <row r="660" s="57" customFormat="1" ht="15.75" customHeight="1" x14ac:dyDescent="0.2"/>
    <row r="661" s="57" customFormat="1" ht="15.75" customHeight="1" x14ac:dyDescent="0.2"/>
    <row r="662" s="57" customFormat="1" ht="15.75" customHeight="1" x14ac:dyDescent="0.2"/>
    <row r="663" s="57" customFormat="1" ht="15.75" customHeight="1" x14ac:dyDescent="0.2"/>
    <row r="664" s="57" customFormat="1" ht="15.75" customHeight="1" x14ac:dyDescent="0.2"/>
    <row r="665" s="57" customFormat="1" ht="15.75" customHeight="1" x14ac:dyDescent="0.2"/>
    <row r="666" s="57" customFormat="1" ht="15.75" customHeight="1" x14ac:dyDescent="0.2"/>
    <row r="667" s="57" customFormat="1" ht="15.75" customHeight="1" x14ac:dyDescent="0.2"/>
    <row r="668" s="57" customFormat="1" ht="15.75" customHeight="1" x14ac:dyDescent="0.2"/>
    <row r="669" s="57" customFormat="1" ht="15.75" customHeight="1" x14ac:dyDescent="0.2"/>
    <row r="670" s="57" customFormat="1" ht="15.75" customHeight="1" x14ac:dyDescent="0.2"/>
    <row r="671" s="57" customFormat="1" ht="15.75" customHeight="1" x14ac:dyDescent="0.2"/>
    <row r="672" s="57" customFormat="1" ht="15.75" customHeight="1" x14ac:dyDescent="0.2"/>
    <row r="673" s="57" customFormat="1" ht="15.75" customHeight="1" x14ac:dyDescent="0.2"/>
    <row r="674" s="57" customFormat="1" ht="15.75" customHeight="1" x14ac:dyDescent="0.2"/>
    <row r="675" s="57" customFormat="1" ht="15.75" customHeight="1" x14ac:dyDescent="0.2"/>
    <row r="676" s="57" customFormat="1" ht="15.75" customHeight="1" x14ac:dyDescent="0.2"/>
    <row r="677" s="57" customFormat="1" ht="15.75" customHeight="1" x14ac:dyDescent="0.2"/>
    <row r="678" s="57" customFormat="1" ht="15.75" customHeight="1" x14ac:dyDescent="0.2"/>
    <row r="679" s="57" customFormat="1" ht="15.75" customHeight="1" x14ac:dyDescent="0.2"/>
    <row r="680" s="57" customFormat="1" ht="15.75" customHeight="1" x14ac:dyDescent="0.2"/>
    <row r="681" s="57" customFormat="1" ht="15.75" customHeight="1" x14ac:dyDescent="0.2"/>
    <row r="682" s="57" customFormat="1" ht="15.75" customHeight="1" x14ac:dyDescent="0.2"/>
    <row r="683" s="57" customFormat="1" ht="15.75" customHeight="1" x14ac:dyDescent="0.2"/>
    <row r="684" s="57" customFormat="1" ht="15.75" customHeight="1" x14ac:dyDescent="0.2"/>
    <row r="685" s="57" customFormat="1" ht="15.75" customHeight="1" x14ac:dyDescent="0.2"/>
    <row r="686" s="57" customFormat="1" ht="15.75" customHeight="1" x14ac:dyDescent="0.2"/>
    <row r="687" s="57" customFormat="1" ht="15.75" customHeight="1" x14ac:dyDescent="0.2"/>
    <row r="688" s="57" customFormat="1" ht="15.75" customHeight="1" x14ac:dyDescent="0.2"/>
    <row r="689" s="57" customFormat="1" ht="15.75" customHeight="1" x14ac:dyDescent="0.2"/>
    <row r="690" s="57" customFormat="1" ht="15.75" customHeight="1" x14ac:dyDescent="0.2"/>
    <row r="691" s="57" customFormat="1" ht="15.75" customHeight="1" x14ac:dyDescent="0.2"/>
    <row r="692" s="57" customFormat="1" ht="15.75" customHeight="1" x14ac:dyDescent="0.2"/>
    <row r="693" s="57" customFormat="1" ht="15.75" customHeight="1" x14ac:dyDescent="0.2"/>
    <row r="694" s="57" customFormat="1" ht="15.75" customHeight="1" x14ac:dyDescent="0.2"/>
    <row r="695" s="57" customFormat="1" ht="15.75" customHeight="1" x14ac:dyDescent="0.2"/>
    <row r="696" s="57" customFormat="1" ht="15.75" customHeight="1" x14ac:dyDescent="0.2"/>
    <row r="697" s="57" customFormat="1" ht="15.75" customHeight="1" x14ac:dyDescent="0.2"/>
    <row r="698" s="57" customFormat="1" ht="15.75" customHeight="1" x14ac:dyDescent="0.2"/>
    <row r="699" s="57" customFormat="1" ht="15.75" customHeight="1" x14ac:dyDescent="0.2"/>
    <row r="700" s="57" customFormat="1" ht="15.75" customHeight="1" x14ac:dyDescent="0.2"/>
    <row r="701" s="57" customFormat="1" ht="15.75" customHeight="1" x14ac:dyDescent="0.2"/>
    <row r="702" s="57" customFormat="1" ht="15.75" customHeight="1" x14ac:dyDescent="0.2"/>
    <row r="703" s="57" customFormat="1" ht="15.75" customHeight="1" x14ac:dyDescent="0.2"/>
    <row r="704" s="57" customFormat="1" ht="15.75" customHeight="1" x14ac:dyDescent="0.2"/>
    <row r="705" s="57" customFormat="1" ht="15.75" customHeight="1" x14ac:dyDescent="0.2"/>
    <row r="706" s="57" customFormat="1" ht="15.75" customHeight="1" x14ac:dyDescent="0.2"/>
    <row r="707" s="57" customFormat="1" ht="15.75" customHeight="1" x14ac:dyDescent="0.2"/>
    <row r="708" s="57" customFormat="1" ht="15.75" customHeight="1" x14ac:dyDescent="0.2"/>
    <row r="709" s="57" customFormat="1" ht="15.75" customHeight="1" x14ac:dyDescent="0.2"/>
    <row r="710" s="57" customFormat="1" ht="15.75" customHeight="1" x14ac:dyDescent="0.2"/>
    <row r="711" s="57" customFormat="1" ht="15.75" customHeight="1" x14ac:dyDescent="0.2"/>
    <row r="712" s="57" customFormat="1" ht="15.75" customHeight="1" x14ac:dyDescent="0.2"/>
    <row r="713" s="57" customFormat="1" ht="15.75" customHeight="1" x14ac:dyDescent="0.2"/>
    <row r="714" s="57" customFormat="1" ht="15.75" customHeight="1" x14ac:dyDescent="0.2"/>
    <row r="715" s="57" customFormat="1" ht="15.75" customHeight="1" x14ac:dyDescent="0.2"/>
    <row r="716" s="57" customFormat="1" ht="15.75" customHeight="1" x14ac:dyDescent="0.2"/>
    <row r="717" s="57" customFormat="1" ht="15.75" customHeight="1" x14ac:dyDescent="0.2"/>
    <row r="718" s="57" customFormat="1" ht="15.75" customHeight="1" x14ac:dyDescent="0.2"/>
    <row r="719" s="57" customFormat="1" ht="15.75" customHeight="1" x14ac:dyDescent="0.2"/>
    <row r="720" s="57" customFormat="1" ht="15.75" customHeight="1" x14ac:dyDescent="0.2"/>
    <row r="721" s="57" customFormat="1" ht="15.75" customHeight="1" x14ac:dyDescent="0.2"/>
    <row r="722" s="57" customFormat="1" ht="15.75" customHeight="1" x14ac:dyDescent="0.2"/>
    <row r="723" s="57" customFormat="1" ht="15.75" customHeight="1" x14ac:dyDescent="0.2"/>
    <row r="724" s="57" customFormat="1" ht="15.75" customHeight="1" x14ac:dyDescent="0.2"/>
    <row r="725" s="57" customFormat="1" ht="15.75" customHeight="1" x14ac:dyDescent="0.2"/>
    <row r="726" s="57" customFormat="1" ht="15.75" customHeight="1" x14ac:dyDescent="0.2"/>
    <row r="727" s="57" customFormat="1" ht="15.75" customHeight="1" x14ac:dyDescent="0.2"/>
    <row r="728" s="57" customFormat="1" ht="15.75" customHeight="1" x14ac:dyDescent="0.2"/>
    <row r="729" s="57" customFormat="1" ht="15.75" customHeight="1" x14ac:dyDescent="0.2"/>
    <row r="730" s="57" customFormat="1" ht="15.75" customHeight="1" x14ac:dyDescent="0.2"/>
    <row r="731" s="57" customFormat="1" ht="15.75" customHeight="1" x14ac:dyDescent="0.2"/>
    <row r="732" s="57" customFormat="1" ht="15.75" customHeight="1" x14ac:dyDescent="0.2"/>
    <row r="733" s="57" customFormat="1" ht="15.75" customHeight="1" x14ac:dyDescent="0.2"/>
    <row r="734" s="57" customFormat="1" ht="15.75" customHeight="1" x14ac:dyDescent="0.2"/>
    <row r="735" s="57" customFormat="1" ht="15.75" customHeight="1" x14ac:dyDescent="0.2"/>
    <row r="736" s="57" customFormat="1" ht="15.75" customHeight="1" x14ac:dyDescent="0.2"/>
    <row r="737" s="57" customFormat="1" ht="15.75" customHeight="1" x14ac:dyDescent="0.2"/>
    <row r="738" s="57" customFormat="1" ht="15.75" customHeight="1" x14ac:dyDescent="0.2"/>
    <row r="739" s="57" customFormat="1" ht="15.75" customHeight="1" x14ac:dyDescent="0.2"/>
    <row r="740" s="57" customFormat="1" ht="15.75" customHeight="1" x14ac:dyDescent="0.2"/>
    <row r="741" s="57" customFormat="1" ht="15.75" customHeight="1" x14ac:dyDescent="0.2"/>
    <row r="742" s="57" customFormat="1" ht="15.75" customHeight="1" x14ac:dyDescent="0.2"/>
    <row r="743" s="57" customFormat="1" ht="15.75" customHeight="1" x14ac:dyDescent="0.2"/>
    <row r="744" s="57" customFormat="1" ht="15.75" customHeight="1" x14ac:dyDescent="0.2"/>
    <row r="745" s="57" customFormat="1" ht="15.75" customHeight="1" x14ac:dyDescent="0.2"/>
    <row r="746" s="57" customFormat="1" ht="15.75" customHeight="1" x14ac:dyDescent="0.2"/>
    <row r="747" s="57" customFormat="1" ht="15.75" customHeight="1" x14ac:dyDescent="0.2"/>
    <row r="748" s="57" customFormat="1" ht="15.75" customHeight="1" x14ac:dyDescent="0.2"/>
    <row r="749" s="57" customFormat="1" ht="15.75" customHeight="1" x14ac:dyDescent="0.2"/>
    <row r="750" s="57" customFormat="1" ht="15.75" customHeight="1" x14ac:dyDescent="0.2"/>
    <row r="751" s="57" customFormat="1" ht="15.75" customHeight="1" x14ac:dyDescent="0.2"/>
    <row r="752" s="57" customFormat="1" ht="15.75" customHeight="1" x14ac:dyDescent="0.2"/>
    <row r="753" s="57" customFormat="1" ht="15.75" customHeight="1" x14ac:dyDescent="0.2"/>
    <row r="754" s="57" customFormat="1" ht="15.75" customHeight="1" x14ac:dyDescent="0.2"/>
    <row r="755" s="57" customFormat="1" ht="15.75" customHeight="1" x14ac:dyDescent="0.2"/>
    <row r="756" s="57" customFormat="1" ht="15.75" customHeight="1" x14ac:dyDescent="0.2"/>
    <row r="757" s="57" customFormat="1" ht="15.75" customHeight="1" x14ac:dyDescent="0.2"/>
    <row r="758" s="57" customFormat="1" ht="15.75" customHeight="1" x14ac:dyDescent="0.2"/>
    <row r="759" s="57" customFormat="1" ht="15.75" customHeight="1" x14ac:dyDescent="0.2"/>
    <row r="760" s="57" customFormat="1" ht="15.75" customHeight="1" x14ac:dyDescent="0.2"/>
    <row r="761" s="57" customFormat="1" ht="15.75" customHeight="1" x14ac:dyDescent="0.2"/>
    <row r="762" s="57" customFormat="1" ht="15.75" customHeight="1" x14ac:dyDescent="0.2"/>
    <row r="763" s="57" customFormat="1" ht="15.75" customHeight="1" x14ac:dyDescent="0.2"/>
    <row r="764" s="57" customFormat="1" ht="15.75" customHeight="1" x14ac:dyDescent="0.2"/>
    <row r="765" s="57" customFormat="1" ht="15.75" customHeight="1" x14ac:dyDescent="0.2"/>
    <row r="766" s="57" customFormat="1" ht="15.75" customHeight="1" x14ac:dyDescent="0.2"/>
    <row r="767" s="57" customFormat="1" ht="15.75" customHeight="1" x14ac:dyDescent="0.2"/>
    <row r="768" s="57" customFormat="1" ht="15.75" customHeight="1" x14ac:dyDescent="0.2"/>
    <row r="769" s="57" customFormat="1" ht="15.75" customHeight="1" x14ac:dyDescent="0.2"/>
    <row r="770" s="57" customFormat="1" ht="15.75" customHeight="1" x14ac:dyDescent="0.2"/>
    <row r="771" s="57" customFormat="1" ht="15.75" customHeight="1" x14ac:dyDescent="0.2"/>
    <row r="772" s="57" customFormat="1" ht="15.75" customHeight="1" x14ac:dyDescent="0.2"/>
    <row r="773" s="57" customFormat="1" ht="15.75" customHeight="1" x14ac:dyDescent="0.2"/>
    <row r="774" s="57" customFormat="1" ht="15.75" customHeight="1" x14ac:dyDescent="0.2"/>
    <row r="775" s="57" customFormat="1" ht="15.75" customHeight="1" x14ac:dyDescent="0.2"/>
    <row r="776" s="57" customFormat="1" ht="15.75" customHeight="1" x14ac:dyDescent="0.2"/>
    <row r="777" s="57" customFormat="1" ht="15.75" customHeight="1" x14ac:dyDescent="0.2"/>
    <row r="778" s="57" customFormat="1" ht="15.75" customHeight="1" x14ac:dyDescent="0.2"/>
    <row r="779" s="57" customFormat="1" ht="15.75" customHeight="1" x14ac:dyDescent="0.2"/>
    <row r="780" s="57" customFormat="1" ht="15.75" customHeight="1" x14ac:dyDescent="0.2"/>
    <row r="781" s="57" customFormat="1" ht="15.75" customHeight="1" x14ac:dyDescent="0.2"/>
    <row r="782" s="57" customFormat="1" ht="15.75" customHeight="1" x14ac:dyDescent="0.2"/>
    <row r="783" s="57" customFormat="1" ht="15.75" customHeight="1" x14ac:dyDescent="0.2"/>
    <row r="784" s="57" customFormat="1" ht="15.75" customHeight="1" x14ac:dyDescent="0.2"/>
    <row r="785" s="57" customFormat="1" ht="15.75" customHeight="1" x14ac:dyDescent="0.2"/>
    <row r="786" s="57" customFormat="1" ht="15.75" customHeight="1" x14ac:dyDescent="0.2"/>
    <row r="787" s="57" customFormat="1" ht="15.75" customHeight="1" x14ac:dyDescent="0.2"/>
    <row r="788" s="57" customFormat="1" ht="15.75" customHeight="1" x14ac:dyDescent="0.2"/>
    <row r="789" s="57" customFormat="1" ht="15.75" customHeight="1" x14ac:dyDescent="0.2"/>
    <row r="790" s="57" customFormat="1" ht="15.75" customHeight="1" x14ac:dyDescent="0.2"/>
    <row r="791" s="57" customFormat="1" ht="15.75" customHeight="1" x14ac:dyDescent="0.2"/>
    <row r="792" s="57" customFormat="1" ht="15.75" customHeight="1" x14ac:dyDescent="0.2"/>
    <row r="793" s="57" customFormat="1" ht="15.75" customHeight="1" x14ac:dyDescent="0.2"/>
    <row r="794" s="57" customFormat="1" ht="15.75" customHeight="1" x14ac:dyDescent="0.2"/>
    <row r="795" s="57" customFormat="1" ht="15.75" customHeight="1" x14ac:dyDescent="0.2"/>
    <row r="796" s="57" customFormat="1" ht="15.75" customHeight="1" x14ac:dyDescent="0.2"/>
    <row r="797" s="57" customFormat="1" ht="15.75" customHeight="1" x14ac:dyDescent="0.2"/>
    <row r="798" s="57" customFormat="1" ht="15.75" customHeight="1" x14ac:dyDescent="0.2"/>
    <row r="799" s="57" customFormat="1" ht="15.75" customHeight="1" x14ac:dyDescent="0.2"/>
    <row r="800" s="57" customFormat="1" ht="15.75" customHeight="1" x14ac:dyDescent="0.2"/>
    <row r="801" s="57" customFormat="1" ht="15.75" customHeight="1" x14ac:dyDescent="0.2"/>
    <row r="802" s="57" customFormat="1" ht="15.75" customHeight="1" x14ac:dyDescent="0.2"/>
    <row r="803" s="57" customFormat="1" ht="15.75" customHeight="1" x14ac:dyDescent="0.2"/>
    <row r="804" s="57" customFormat="1" ht="15.75" customHeight="1" x14ac:dyDescent="0.2"/>
    <row r="805" s="57" customFormat="1" ht="15.75" customHeight="1" x14ac:dyDescent="0.2"/>
    <row r="806" s="57" customFormat="1" ht="15.75" customHeight="1" x14ac:dyDescent="0.2"/>
    <row r="807" s="57" customFormat="1" ht="15.75" customHeight="1" x14ac:dyDescent="0.2"/>
    <row r="808" s="57" customFormat="1" ht="15.75" customHeight="1" x14ac:dyDescent="0.2"/>
    <row r="809" s="57" customFormat="1" ht="15.75" customHeight="1" x14ac:dyDescent="0.2"/>
    <row r="810" s="57" customFormat="1" ht="15.75" customHeight="1" x14ac:dyDescent="0.2"/>
    <row r="811" s="57" customFormat="1" ht="15.75" customHeight="1" x14ac:dyDescent="0.2"/>
    <row r="812" s="57" customFormat="1" ht="15.75" customHeight="1" x14ac:dyDescent="0.2"/>
    <row r="813" s="57" customFormat="1" ht="15.75" customHeight="1" x14ac:dyDescent="0.2"/>
    <row r="814" s="57" customFormat="1" ht="15.75" customHeight="1" x14ac:dyDescent="0.2"/>
    <row r="815" s="57" customFormat="1" ht="15.75" customHeight="1" x14ac:dyDescent="0.2"/>
    <row r="816" s="57" customFormat="1" ht="15.75" customHeight="1" x14ac:dyDescent="0.2"/>
    <row r="817" s="57" customFormat="1" ht="15.75" customHeight="1" x14ac:dyDescent="0.2"/>
    <row r="818" s="57" customFormat="1" ht="15.75" customHeight="1" x14ac:dyDescent="0.2"/>
    <row r="819" s="57" customFormat="1" ht="15.75" customHeight="1" x14ac:dyDescent="0.2"/>
    <row r="820" s="57" customFormat="1" ht="15.75" customHeight="1" x14ac:dyDescent="0.2"/>
    <row r="821" s="57" customFormat="1" ht="15.75" customHeight="1" x14ac:dyDescent="0.2"/>
    <row r="822" s="57" customFormat="1" ht="15.75" customHeight="1" x14ac:dyDescent="0.2"/>
    <row r="823" s="57" customFormat="1" ht="15.75" customHeight="1" x14ac:dyDescent="0.2"/>
    <row r="824" s="57" customFormat="1" ht="15.75" customHeight="1" x14ac:dyDescent="0.2"/>
    <row r="825" s="57" customFormat="1" ht="15.75" customHeight="1" x14ac:dyDescent="0.2"/>
    <row r="826" s="57" customFormat="1" ht="15.75" customHeight="1" x14ac:dyDescent="0.2"/>
    <row r="827" s="57" customFormat="1" ht="15.75" customHeight="1" x14ac:dyDescent="0.2"/>
    <row r="828" s="57" customFormat="1" ht="15.75" customHeight="1" x14ac:dyDescent="0.2"/>
    <row r="829" s="57" customFormat="1" ht="15.75" customHeight="1" x14ac:dyDescent="0.2"/>
    <row r="830" s="57" customFormat="1" ht="15.75" customHeight="1" x14ac:dyDescent="0.2"/>
    <row r="831" s="57" customFormat="1" ht="15.75" customHeight="1" x14ac:dyDescent="0.2"/>
    <row r="832" s="57" customFormat="1" ht="15.75" customHeight="1" x14ac:dyDescent="0.2"/>
    <row r="833" s="57" customFormat="1" ht="15.75" customHeight="1" x14ac:dyDescent="0.2"/>
    <row r="834" s="57" customFormat="1" ht="15.75" customHeight="1" x14ac:dyDescent="0.2"/>
    <row r="835" s="57" customFormat="1" ht="15.75" customHeight="1" x14ac:dyDescent="0.2"/>
    <row r="836" s="57" customFormat="1" ht="15.75" customHeight="1" x14ac:dyDescent="0.2"/>
    <row r="837" s="57" customFormat="1" ht="15.75" customHeight="1" x14ac:dyDescent="0.2"/>
    <row r="838" s="57" customFormat="1" ht="15.75" customHeight="1" x14ac:dyDescent="0.2"/>
    <row r="839" s="57" customFormat="1" ht="15.75" customHeight="1" x14ac:dyDescent="0.2"/>
    <row r="840" s="57" customFormat="1" ht="15.75" customHeight="1" x14ac:dyDescent="0.2"/>
    <row r="841" s="57" customFormat="1" ht="15.75" customHeight="1" x14ac:dyDescent="0.2"/>
    <row r="842" s="57" customFormat="1" ht="15.75" customHeight="1" x14ac:dyDescent="0.2"/>
    <row r="843" s="57" customFormat="1" ht="15.75" customHeight="1" x14ac:dyDescent="0.2"/>
    <row r="844" s="57" customFormat="1" ht="15.75" customHeight="1" x14ac:dyDescent="0.2"/>
    <row r="845" s="57" customFormat="1" ht="15.75" customHeight="1" x14ac:dyDescent="0.2"/>
    <row r="846" s="57" customFormat="1" ht="15.75" customHeight="1" x14ac:dyDescent="0.2"/>
    <row r="847" s="57" customFormat="1" ht="15.75" customHeight="1" x14ac:dyDescent="0.2"/>
    <row r="848" s="57" customFormat="1" ht="15.75" customHeight="1" x14ac:dyDescent="0.2"/>
    <row r="849" s="57" customFormat="1" ht="15.75" customHeight="1" x14ac:dyDescent="0.2"/>
    <row r="850" s="57" customFormat="1" ht="15.75" customHeight="1" x14ac:dyDescent="0.2"/>
    <row r="851" s="57" customFormat="1" ht="15.75" customHeight="1" x14ac:dyDescent="0.2"/>
    <row r="852" s="57" customFormat="1" ht="15.75" customHeight="1" x14ac:dyDescent="0.2"/>
    <row r="853" s="57" customFormat="1" ht="15.75" customHeight="1" x14ac:dyDescent="0.2"/>
    <row r="854" s="57" customFormat="1" ht="15.75" customHeight="1" x14ac:dyDescent="0.2"/>
    <row r="855" s="57" customFormat="1" ht="15.75" customHeight="1" x14ac:dyDescent="0.2"/>
    <row r="856" s="57" customFormat="1" ht="15.75" customHeight="1" x14ac:dyDescent="0.2"/>
    <row r="857" s="57" customFormat="1" ht="15.75" customHeight="1" x14ac:dyDescent="0.2"/>
    <row r="858" s="57" customFormat="1" ht="15.75" customHeight="1" x14ac:dyDescent="0.2"/>
    <row r="859" s="57" customFormat="1" ht="15.75" customHeight="1" x14ac:dyDescent="0.2"/>
    <row r="860" s="57" customFormat="1" ht="15.75" customHeight="1" x14ac:dyDescent="0.2"/>
    <row r="861" s="57" customFormat="1" ht="15.75" customHeight="1" x14ac:dyDescent="0.2"/>
    <row r="862" s="57" customFormat="1" ht="15.75" customHeight="1" x14ac:dyDescent="0.2"/>
    <row r="863" s="57" customFormat="1" ht="15.75" customHeight="1" x14ac:dyDescent="0.2"/>
    <row r="864" s="57" customFormat="1" ht="15.75" customHeight="1" x14ac:dyDescent="0.2"/>
    <row r="865" s="57" customFormat="1" ht="15.75" customHeight="1" x14ac:dyDescent="0.2"/>
    <row r="866" s="57" customFormat="1" ht="15.75" customHeight="1" x14ac:dyDescent="0.2"/>
    <row r="867" s="57" customFormat="1" ht="15.75" customHeight="1" x14ac:dyDescent="0.2"/>
    <row r="868" s="57" customFormat="1" ht="15.75" customHeight="1" x14ac:dyDescent="0.2"/>
    <row r="869" s="57" customFormat="1" ht="15.75" customHeight="1" x14ac:dyDescent="0.2"/>
    <row r="870" s="57" customFormat="1" ht="15.75" customHeight="1" x14ac:dyDescent="0.2"/>
    <row r="871" s="57" customFormat="1" ht="15.75" customHeight="1" x14ac:dyDescent="0.2"/>
    <row r="872" s="57" customFormat="1" ht="15.75" customHeight="1" x14ac:dyDescent="0.2"/>
    <row r="873" s="57" customFormat="1" ht="15.75" customHeight="1" x14ac:dyDescent="0.2"/>
    <row r="874" s="57" customFormat="1" ht="15.75" customHeight="1" x14ac:dyDescent="0.2"/>
    <row r="875" s="57" customFormat="1" ht="15.75" customHeight="1" x14ac:dyDescent="0.2"/>
    <row r="876" s="57" customFormat="1" ht="15.75" customHeight="1" x14ac:dyDescent="0.2"/>
    <row r="877" s="57" customFormat="1" ht="15.75" customHeight="1" x14ac:dyDescent="0.2"/>
    <row r="878" s="57" customFormat="1" ht="15.75" customHeight="1" x14ac:dyDescent="0.2"/>
    <row r="879" s="57" customFormat="1" ht="15.75" customHeight="1" x14ac:dyDescent="0.2"/>
    <row r="880" s="57" customFormat="1" ht="15.75" customHeight="1" x14ac:dyDescent="0.2"/>
    <row r="881" s="57" customFormat="1" ht="15.75" customHeight="1" x14ac:dyDescent="0.2"/>
    <row r="882" s="57" customFormat="1" ht="15.75" customHeight="1" x14ac:dyDescent="0.2"/>
    <row r="883" s="57" customFormat="1" ht="15.75" customHeight="1" x14ac:dyDescent="0.2"/>
    <row r="884" s="57" customFormat="1" ht="15.75" customHeight="1" x14ac:dyDescent="0.2"/>
    <row r="885" s="57" customFormat="1" ht="15.75" customHeight="1" x14ac:dyDescent="0.2"/>
    <row r="886" s="57" customFormat="1" ht="15.75" customHeight="1" x14ac:dyDescent="0.2"/>
    <row r="887" s="57" customFormat="1" ht="15.75" customHeight="1" x14ac:dyDescent="0.2"/>
    <row r="888" s="57" customFormat="1" ht="15.75" customHeight="1" x14ac:dyDescent="0.2"/>
    <row r="889" s="57" customFormat="1" ht="15.75" customHeight="1" x14ac:dyDescent="0.2"/>
    <row r="890" s="57" customFormat="1" ht="15.75" customHeight="1" x14ac:dyDescent="0.2"/>
    <row r="891" s="57" customFormat="1" ht="15.75" customHeight="1" x14ac:dyDescent="0.2"/>
    <row r="892" s="57" customFormat="1" ht="15.75" customHeight="1" x14ac:dyDescent="0.2"/>
    <row r="893" s="57" customFormat="1" ht="15.75" customHeight="1" x14ac:dyDescent="0.2"/>
    <row r="894" s="57" customFormat="1" ht="15.75" customHeight="1" x14ac:dyDescent="0.2"/>
    <row r="895" s="57" customFormat="1" ht="15.75" customHeight="1" x14ac:dyDescent="0.2"/>
    <row r="896" s="57" customFormat="1" ht="15.75" customHeight="1" x14ac:dyDescent="0.2"/>
    <row r="897" s="57" customFormat="1" ht="15.75" customHeight="1" x14ac:dyDescent="0.2"/>
    <row r="898" s="57" customFormat="1" ht="15.75" customHeight="1" x14ac:dyDescent="0.2"/>
    <row r="899" s="57" customFormat="1" ht="15.75" customHeight="1" x14ac:dyDescent="0.2"/>
    <row r="900" s="57" customFormat="1" ht="15.75" customHeight="1" x14ac:dyDescent="0.2"/>
    <row r="901" s="57" customFormat="1" ht="15.75" customHeight="1" x14ac:dyDescent="0.2"/>
    <row r="902" s="57" customFormat="1" ht="15.75" customHeight="1" x14ac:dyDescent="0.2"/>
    <row r="903" s="57" customFormat="1" ht="15.75" customHeight="1" x14ac:dyDescent="0.2"/>
    <row r="904" s="57" customFormat="1" ht="15.75" customHeight="1" x14ac:dyDescent="0.2"/>
    <row r="905" s="57" customFormat="1" ht="15.75" customHeight="1" x14ac:dyDescent="0.2"/>
    <row r="906" s="57" customFormat="1" ht="15.75" customHeight="1" x14ac:dyDescent="0.2"/>
    <row r="907" s="57" customFormat="1" ht="15.75" customHeight="1" x14ac:dyDescent="0.2"/>
    <row r="908" s="57" customFormat="1" ht="15.75" customHeight="1" x14ac:dyDescent="0.2"/>
    <row r="909" s="57" customFormat="1" ht="15.75" customHeight="1" x14ac:dyDescent="0.2"/>
    <row r="910" s="57" customFormat="1" ht="15.75" customHeight="1" x14ac:dyDescent="0.2"/>
    <row r="911" s="57" customFormat="1" ht="15.75" customHeight="1" x14ac:dyDescent="0.2"/>
    <row r="912" s="57" customFormat="1" ht="15.75" customHeight="1" x14ac:dyDescent="0.2"/>
    <row r="913" s="57" customFormat="1" ht="15.75" customHeight="1" x14ac:dyDescent="0.2"/>
    <row r="914" s="57" customFormat="1" ht="15.75" customHeight="1" x14ac:dyDescent="0.2"/>
    <row r="915" s="57" customFormat="1" ht="15.75" customHeight="1" x14ac:dyDescent="0.2"/>
    <row r="916" s="57" customFormat="1" ht="15.75" customHeight="1" x14ac:dyDescent="0.2"/>
    <row r="917" s="57" customFormat="1" ht="15.75" customHeight="1" x14ac:dyDescent="0.2"/>
    <row r="918" s="57" customFormat="1" ht="15.75" customHeight="1" x14ac:dyDescent="0.2"/>
    <row r="919" s="57" customFormat="1" ht="15.75" customHeight="1" x14ac:dyDescent="0.2"/>
    <row r="920" s="57" customFormat="1" ht="15.75" customHeight="1" x14ac:dyDescent="0.2"/>
    <row r="921" s="57" customFormat="1" ht="15.75" customHeight="1" x14ac:dyDescent="0.2"/>
    <row r="922" s="57" customFormat="1" ht="15.75" customHeight="1" x14ac:dyDescent="0.2"/>
    <row r="923" s="57" customFormat="1" ht="15.75" customHeight="1" x14ac:dyDescent="0.2"/>
    <row r="924" s="57" customFormat="1" ht="15.75" customHeight="1" x14ac:dyDescent="0.2"/>
    <row r="925" s="57" customFormat="1" ht="15.75" customHeight="1" x14ac:dyDescent="0.2"/>
    <row r="926" s="57" customFormat="1" ht="15.75" customHeight="1" x14ac:dyDescent="0.2"/>
    <row r="927" s="57" customFormat="1" ht="15.75" customHeight="1" x14ac:dyDescent="0.2"/>
    <row r="928" s="57" customFormat="1" ht="15.75" customHeight="1" x14ac:dyDescent="0.2"/>
    <row r="929" s="57" customFormat="1" ht="15.75" customHeight="1" x14ac:dyDescent="0.2"/>
    <row r="930" s="57" customFormat="1" ht="15.75" customHeight="1" x14ac:dyDescent="0.2"/>
    <row r="931" s="57" customFormat="1" ht="15.75" customHeight="1" x14ac:dyDescent="0.2"/>
    <row r="932" s="57" customFormat="1" ht="15.75" customHeight="1" x14ac:dyDescent="0.2"/>
    <row r="933" s="57" customFormat="1" ht="15.75" customHeight="1" x14ac:dyDescent="0.2"/>
    <row r="934" s="57" customFormat="1" ht="15.75" customHeight="1" x14ac:dyDescent="0.2"/>
    <row r="935" s="57" customFormat="1" ht="15.75" customHeight="1" x14ac:dyDescent="0.2"/>
    <row r="936" s="57" customFormat="1" ht="15.75" customHeight="1" x14ac:dyDescent="0.2"/>
    <row r="937" s="57" customFormat="1" ht="15.75" customHeight="1" x14ac:dyDescent="0.2"/>
    <row r="938" s="57" customFormat="1" ht="15.75" customHeight="1" x14ac:dyDescent="0.2"/>
    <row r="939" s="57" customFormat="1" ht="15.75" customHeight="1" x14ac:dyDescent="0.2"/>
    <row r="940" s="57" customFormat="1" ht="15.75" customHeight="1" x14ac:dyDescent="0.2"/>
    <row r="941" s="57" customFormat="1" ht="15.75" customHeight="1" x14ac:dyDescent="0.2"/>
    <row r="942" s="57" customFormat="1" ht="15.75" customHeight="1" x14ac:dyDescent="0.2"/>
    <row r="943" s="57" customFormat="1" ht="15.75" customHeight="1" x14ac:dyDescent="0.2"/>
    <row r="944" s="57" customFormat="1" ht="15.75" customHeight="1" x14ac:dyDescent="0.2"/>
    <row r="945" s="57" customFormat="1" ht="15.75" customHeight="1" x14ac:dyDescent="0.2"/>
    <row r="946" s="57" customFormat="1" ht="15.75" customHeight="1" x14ac:dyDescent="0.2"/>
    <row r="947" s="57" customFormat="1" ht="15.75" customHeight="1" x14ac:dyDescent="0.2"/>
    <row r="948" s="57" customFormat="1" ht="15.75" customHeight="1" x14ac:dyDescent="0.2"/>
    <row r="949" s="57" customFormat="1" ht="15.75" customHeight="1" x14ac:dyDescent="0.2"/>
    <row r="950" s="57" customFormat="1" ht="15.75" customHeight="1" x14ac:dyDescent="0.2"/>
    <row r="951" s="57" customFormat="1" ht="15.75" customHeight="1" x14ac:dyDescent="0.2"/>
    <row r="952" s="57" customFormat="1" ht="15.75" customHeight="1" x14ac:dyDescent="0.2"/>
    <row r="953" s="57" customFormat="1" ht="15.75" customHeight="1" x14ac:dyDescent="0.2"/>
    <row r="954" s="57" customFormat="1" ht="15.75" customHeight="1" x14ac:dyDescent="0.2"/>
    <row r="955" s="57" customFormat="1" ht="15.75" customHeight="1" x14ac:dyDescent="0.2"/>
    <row r="956" s="57" customFormat="1" ht="15.75" customHeight="1" x14ac:dyDescent="0.2"/>
    <row r="957" s="57" customFormat="1" ht="15.75" customHeight="1" x14ac:dyDescent="0.2"/>
    <row r="958" s="57" customFormat="1" ht="15.75" customHeight="1" x14ac:dyDescent="0.2"/>
    <row r="959" s="57" customFormat="1" ht="15.75" customHeight="1" x14ac:dyDescent="0.2"/>
    <row r="960" s="57" customFormat="1" ht="15.75" customHeight="1" x14ac:dyDescent="0.2"/>
    <row r="961" s="57" customFormat="1" ht="15.75" customHeight="1" x14ac:dyDescent="0.2"/>
    <row r="962" s="57" customFormat="1" ht="15.75" customHeight="1" x14ac:dyDescent="0.2"/>
    <row r="963" s="57" customFormat="1" ht="15.75" customHeight="1" x14ac:dyDescent="0.2"/>
    <row r="964" s="57" customFormat="1" ht="15.75" customHeight="1" x14ac:dyDescent="0.2"/>
    <row r="965" s="57" customFormat="1" ht="15.75" customHeight="1" x14ac:dyDescent="0.2"/>
    <row r="966" s="57" customFormat="1" ht="15.75" customHeight="1" x14ac:dyDescent="0.2"/>
    <row r="967" s="57" customFormat="1" ht="15.75" customHeight="1" x14ac:dyDescent="0.2"/>
    <row r="968" s="57" customFormat="1" ht="15.75" customHeight="1" x14ac:dyDescent="0.2"/>
    <row r="969" s="57" customFormat="1" ht="15.75" customHeight="1" x14ac:dyDescent="0.2"/>
    <row r="970" s="57" customFormat="1" ht="15.75" customHeight="1" x14ac:dyDescent="0.2"/>
    <row r="971" s="57" customFormat="1" ht="15.75" customHeight="1" x14ac:dyDescent="0.2"/>
    <row r="972" s="57" customFormat="1" ht="15.75" customHeight="1" x14ac:dyDescent="0.2"/>
    <row r="973" s="57" customFormat="1" ht="15.75" customHeight="1" x14ac:dyDescent="0.2"/>
    <row r="974" s="57" customFormat="1" ht="15.75" customHeight="1" x14ac:dyDescent="0.2"/>
    <row r="975" s="57" customFormat="1" ht="15.75" customHeight="1" x14ac:dyDescent="0.2"/>
    <row r="976" s="57" customFormat="1" ht="15.75" customHeight="1" x14ac:dyDescent="0.2"/>
    <row r="977" s="57" customFormat="1" ht="15.75" customHeight="1" x14ac:dyDescent="0.2"/>
    <row r="978" s="57" customFormat="1" ht="15.75" customHeight="1" x14ac:dyDescent="0.2"/>
    <row r="979" s="57" customFormat="1" ht="15.75" customHeight="1" x14ac:dyDescent="0.2"/>
    <row r="980" s="57" customFormat="1" ht="15.75" customHeight="1" x14ac:dyDescent="0.2"/>
    <row r="981" s="57" customFormat="1" ht="15.75" customHeight="1" x14ac:dyDescent="0.2"/>
    <row r="982" s="57" customFormat="1" ht="15.75" customHeight="1" x14ac:dyDescent="0.2"/>
    <row r="983" s="57" customFormat="1" ht="15.75" customHeight="1" x14ac:dyDescent="0.2"/>
    <row r="984" s="57" customFormat="1" ht="15.75" customHeight="1" x14ac:dyDescent="0.2"/>
    <row r="985" s="57" customFormat="1" ht="15.75" customHeight="1" x14ac:dyDescent="0.2"/>
    <row r="986" s="57" customFormat="1" ht="15.75" customHeight="1" x14ac:dyDescent="0.2"/>
    <row r="987" s="57" customFormat="1" ht="15.75" customHeight="1" x14ac:dyDescent="0.2"/>
    <row r="988" s="57" customFormat="1" ht="15.75" customHeight="1" x14ac:dyDescent="0.2"/>
    <row r="989" s="57" customFormat="1" ht="15.75" customHeight="1" x14ac:dyDescent="0.2"/>
    <row r="990" s="57" customFormat="1" ht="15.75" customHeight="1" x14ac:dyDescent="0.2"/>
    <row r="991" s="57" customFormat="1" ht="15.75" customHeight="1" x14ac:dyDescent="0.2"/>
    <row r="992" s="57" customFormat="1" ht="15.75" customHeight="1" x14ac:dyDescent="0.2"/>
    <row r="993" s="57" customFormat="1" ht="15.75" customHeight="1" x14ac:dyDescent="0.2"/>
    <row r="994" s="57" customFormat="1" ht="15.75" customHeight="1" x14ac:dyDescent="0.2"/>
    <row r="995" s="57" customFormat="1" ht="15.75" customHeight="1" x14ac:dyDescent="0.2"/>
    <row r="996" s="57" customFormat="1" ht="15.75" customHeight="1" x14ac:dyDescent="0.2"/>
    <row r="997" s="57" customFormat="1" ht="15.75" customHeight="1" x14ac:dyDescent="0.2"/>
    <row r="998" s="57" customFormat="1" ht="15.75" customHeight="1" x14ac:dyDescent="0.2"/>
    <row r="999" s="57" customFormat="1" ht="15.75" customHeight="1" x14ac:dyDescent="0.2"/>
  </sheetData>
  <sortState xmlns:xlrd2="http://schemas.microsoft.com/office/spreadsheetml/2017/richdata2" ref="B33:B34">
    <sortCondition descending="1" ref="B34"/>
  </sortState>
  <mergeCells count="3">
    <mergeCell ref="G18:H18"/>
    <mergeCell ref="G29:H29"/>
    <mergeCell ref="G36:H36"/>
  </mergeCells>
  <conditionalFormatting sqref="B2:H13">
    <cfRule type="cellIs" dxfId="6" priority="10" operator="equal">
      <formula>0</formula>
    </cfRule>
  </conditionalFormatting>
  <conditionalFormatting sqref="A15:A35">
    <cfRule type="cellIs" dxfId="5" priority="4" operator="equal">
      <formula>0</formula>
    </cfRule>
  </conditionalFormatting>
  <conditionalFormatting sqref="A14:E14 C15:E48 C49:C53">
    <cfRule type="cellIs" dxfId="4" priority="3" operator="equal">
      <formula>0</formula>
    </cfRule>
  </conditionalFormatting>
  <conditionalFormatting sqref="B15:B52">
    <cfRule type="cellIs" dxfId="3" priority="2" operator="equal">
      <formula>0</formula>
    </cfRule>
  </conditionalFormatting>
  <conditionalFormatting sqref="A36:A50">
    <cfRule type="cellIs" dxfId="2" priority="1" operator="equal">
      <formula>0</formula>
    </cfRule>
  </conditionalFormatting>
  <pageMargins left="0.3" right="0" top="0.5" bottom="0" header="0" footer="0"/>
  <pageSetup scale="99" orientation="portrait" verticalDpi="4294967294" r:id="rId1"/>
  <headerFooter>
    <oddHeader>&amp;C&amp;"Arial Black,Regular"&amp;20SUNDAY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D4433-109E-4B52-BB06-7A6A8CE82EDA}">
  <sheetPr>
    <pageSetUpPr fitToPage="1"/>
  </sheetPr>
  <dimension ref="A1:E36"/>
  <sheetViews>
    <sheetView workbookViewId="0">
      <selection activeCell="A2" sqref="A2:H14"/>
    </sheetView>
  </sheetViews>
  <sheetFormatPr defaultRowHeight="15" x14ac:dyDescent="0.25"/>
  <cols>
    <col min="1" max="1" width="10.7109375" style="43" customWidth="1"/>
    <col min="2" max="3" width="32.7109375" customWidth="1"/>
    <col min="4" max="4" width="10.7109375" style="43" customWidth="1"/>
    <col min="5" max="5" width="32.7109375" customWidth="1"/>
  </cols>
  <sheetData>
    <row r="1" spans="1:5" ht="24.95" customHeight="1" thickBot="1" x14ac:dyDescent="0.3">
      <c r="A1" s="89" t="s">
        <v>69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5" t="s">
        <v>71</v>
      </c>
      <c r="E2" s="96"/>
    </row>
    <row r="3" spans="1:5" ht="24.95" customHeight="1" thickBot="1" x14ac:dyDescent="0.3">
      <c r="A3" s="42" t="s">
        <v>80</v>
      </c>
      <c r="B3" s="38"/>
      <c r="C3" s="38"/>
      <c r="D3" s="87" t="s">
        <v>80</v>
      </c>
      <c r="E3" s="39"/>
    </row>
    <row r="4" spans="1:5" ht="24.95" customHeight="1" thickBot="1" x14ac:dyDescent="0.3">
      <c r="A4" s="42" t="s">
        <v>97</v>
      </c>
      <c r="B4" s="39"/>
      <c r="C4" s="38"/>
      <c r="D4" s="88"/>
      <c r="E4" s="38"/>
    </row>
    <row r="5" spans="1:5" ht="24.95" customHeight="1" thickBot="1" x14ac:dyDescent="0.3">
      <c r="A5" s="42" t="s">
        <v>81</v>
      </c>
      <c r="B5" s="39"/>
      <c r="C5" s="38"/>
      <c r="D5" s="87" t="s">
        <v>81</v>
      </c>
      <c r="E5" s="39"/>
    </row>
    <row r="6" spans="1:5" ht="24.95" customHeight="1" thickBot="1" x14ac:dyDescent="0.3">
      <c r="A6" s="42" t="s">
        <v>98</v>
      </c>
      <c r="B6" s="40"/>
      <c r="C6" s="38"/>
      <c r="D6" s="88"/>
      <c r="E6" s="38"/>
    </row>
    <row r="7" spans="1:5" ht="24.95" customHeight="1" thickBot="1" x14ac:dyDescent="0.3">
      <c r="A7" s="42" t="s">
        <v>82</v>
      </c>
      <c r="B7" s="39"/>
      <c r="C7" s="38"/>
      <c r="D7" s="87" t="s">
        <v>82</v>
      </c>
      <c r="E7" s="39"/>
    </row>
    <row r="8" spans="1:5" ht="24.95" customHeight="1" thickBot="1" x14ac:dyDescent="0.3">
      <c r="A8" s="42" t="s">
        <v>99</v>
      </c>
      <c r="B8" s="40"/>
      <c r="C8" s="38"/>
      <c r="D8" s="88"/>
      <c r="E8" s="38"/>
    </row>
    <row r="9" spans="1:5" ht="24.95" customHeight="1" thickBot="1" x14ac:dyDescent="0.3">
      <c r="A9" s="42" t="s">
        <v>83</v>
      </c>
      <c r="B9" s="39"/>
      <c r="C9" s="38"/>
      <c r="D9" s="87" t="s">
        <v>83</v>
      </c>
      <c r="E9" s="39"/>
    </row>
    <row r="10" spans="1:5" ht="24.95" customHeight="1" thickBot="1" x14ac:dyDescent="0.3">
      <c r="A10" s="42" t="s">
        <v>100</v>
      </c>
      <c r="B10" s="40"/>
      <c r="C10" s="38"/>
      <c r="D10" s="88"/>
      <c r="E10" s="38"/>
    </row>
    <row r="11" spans="1:5" ht="24.95" customHeight="1" thickBot="1" x14ac:dyDescent="0.3">
      <c r="A11" s="42" t="s">
        <v>84</v>
      </c>
      <c r="B11" s="39"/>
      <c r="C11" s="38"/>
      <c r="D11" s="87" t="s">
        <v>84</v>
      </c>
      <c r="E11" s="40"/>
    </row>
    <row r="12" spans="1:5" ht="24.95" customHeight="1" thickBot="1" x14ac:dyDescent="0.3">
      <c r="A12" s="42" t="s">
        <v>101</v>
      </c>
      <c r="B12" s="39"/>
      <c r="C12" s="38"/>
      <c r="D12" s="88"/>
      <c r="E12" s="38"/>
    </row>
    <row r="13" spans="1:5" ht="24.95" customHeight="1" thickBot="1" x14ac:dyDescent="0.3">
      <c r="A13" s="42" t="s">
        <v>85</v>
      </c>
      <c r="B13" s="39"/>
      <c r="C13" s="38"/>
      <c r="D13" s="87" t="s">
        <v>85</v>
      </c>
      <c r="E13" s="39"/>
    </row>
    <row r="14" spans="1:5" ht="24.95" customHeight="1" thickBot="1" x14ac:dyDescent="0.3">
      <c r="A14" s="42" t="s">
        <v>102</v>
      </c>
      <c r="B14" s="39"/>
      <c r="C14" s="38"/>
      <c r="D14" s="88"/>
      <c r="E14" s="38"/>
    </row>
    <row r="15" spans="1:5" ht="24.95" customHeight="1" thickBot="1" x14ac:dyDescent="0.3">
      <c r="A15" s="42" t="s">
        <v>86</v>
      </c>
      <c r="B15" s="39"/>
      <c r="C15" s="70"/>
      <c r="D15" s="87" t="s">
        <v>86</v>
      </c>
      <c r="E15" s="38"/>
    </row>
    <row r="16" spans="1:5" ht="24.95" customHeight="1" thickBot="1" x14ac:dyDescent="0.3">
      <c r="A16" s="42" t="s">
        <v>103</v>
      </c>
      <c r="B16" s="39"/>
      <c r="C16" s="70"/>
      <c r="D16" s="88"/>
      <c r="E16" s="38"/>
    </row>
    <row r="17" spans="1:5" ht="24.95" customHeight="1" thickBot="1" x14ac:dyDescent="0.3">
      <c r="A17" s="42" t="s">
        <v>87</v>
      </c>
      <c r="B17" s="39"/>
      <c r="C17" s="38"/>
      <c r="D17" s="87" t="s">
        <v>87</v>
      </c>
      <c r="E17" s="39"/>
    </row>
    <row r="18" spans="1:5" ht="24.95" customHeight="1" thickBot="1" x14ac:dyDescent="0.3">
      <c r="A18" s="42" t="s">
        <v>104</v>
      </c>
      <c r="B18" s="39"/>
      <c r="C18" s="38"/>
      <c r="D18" s="88"/>
      <c r="E18" s="38"/>
    </row>
    <row r="19" spans="1:5" ht="24.95" customHeight="1" thickBot="1" x14ac:dyDescent="0.3">
      <c r="A19" s="42" t="s">
        <v>88</v>
      </c>
      <c r="B19" s="38"/>
      <c r="C19" s="38"/>
      <c r="D19" s="87" t="s">
        <v>88</v>
      </c>
      <c r="E19" s="39"/>
    </row>
    <row r="20" spans="1:5" ht="24.95" customHeight="1" thickBot="1" x14ac:dyDescent="0.3">
      <c r="A20" s="42" t="s">
        <v>105</v>
      </c>
      <c r="B20" s="70"/>
      <c r="C20" s="38"/>
      <c r="D20" s="88"/>
      <c r="E20" s="38"/>
    </row>
    <row r="21" spans="1:5" ht="24.95" customHeight="1" thickBot="1" x14ac:dyDescent="0.3">
      <c r="A21" s="42" t="s">
        <v>89</v>
      </c>
      <c r="B21" s="39"/>
      <c r="C21" s="38"/>
      <c r="D21" s="87" t="s">
        <v>89</v>
      </c>
      <c r="E21" s="41"/>
    </row>
    <row r="22" spans="1:5" ht="24.95" customHeight="1" thickBot="1" x14ac:dyDescent="0.3">
      <c r="A22" s="42" t="s">
        <v>106</v>
      </c>
      <c r="B22" s="39"/>
      <c r="C22" s="38"/>
      <c r="D22" s="88"/>
      <c r="E22" s="38"/>
    </row>
    <row r="23" spans="1:5" ht="24.95" customHeight="1" thickBot="1" x14ac:dyDescent="0.3">
      <c r="A23" s="42" t="s">
        <v>90</v>
      </c>
      <c r="B23" s="39"/>
      <c r="C23" s="39"/>
      <c r="D23" s="87" t="s">
        <v>90</v>
      </c>
      <c r="E23" s="39"/>
    </row>
    <row r="24" spans="1:5" ht="24.95" customHeight="1" thickBot="1" x14ac:dyDescent="0.3">
      <c r="A24" s="42" t="s">
        <v>107</v>
      </c>
      <c r="B24" s="40"/>
      <c r="C24" s="38"/>
      <c r="D24" s="88"/>
      <c r="E24" s="39"/>
    </row>
    <row r="25" spans="1:5" ht="24.95" customHeight="1" thickBot="1" x14ac:dyDescent="0.3">
      <c r="A25" s="42" t="s">
        <v>91</v>
      </c>
      <c r="B25" s="39"/>
      <c r="C25" s="39"/>
      <c r="D25" s="87" t="s">
        <v>91</v>
      </c>
      <c r="E25" s="39"/>
    </row>
    <row r="26" spans="1:5" ht="24.95" customHeight="1" thickBot="1" x14ac:dyDescent="0.3">
      <c r="A26" s="42" t="s">
        <v>108</v>
      </c>
      <c r="B26" s="40"/>
      <c r="C26" s="38"/>
      <c r="D26" s="88"/>
      <c r="E26" s="39"/>
    </row>
    <row r="27" spans="1:5" ht="24.95" customHeight="1" thickBot="1" x14ac:dyDescent="0.3">
      <c r="A27" s="42" t="s">
        <v>92</v>
      </c>
      <c r="B27" s="39"/>
      <c r="C27" s="39"/>
      <c r="D27" s="87" t="s">
        <v>92</v>
      </c>
      <c r="E27" s="39"/>
    </row>
    <row r="28" spans="1:5" ht="24.95" customHeight="1" thickBot="1" x14ac:dyDescent="0.3">
      <c r="A28" s="42" t="s">
        <v>109</v>
      </c>
      <c r="B28" s="39"/>
      <c r="C28" s="38"/>
      <c r="D28" s="88"/>
      <c r="E28" s="39"/>
    </row>
    <row r="29" spans="1:5" ht="24.95" customHeight="1" thickBot="1" x14ac:dyDescent="0.3">
      <c r="A29" s="42" t="s">
        <v>93</v>
      </c>
      <c r="B29" s="39"/>
      <c r="C29" s="38"/>
      <c r="D29" s="87" t="s">
        <v>93</v>
      </c>
      <c r="E29" s="39"/>
    </row>
    <row r="30" spans="1:5" ht="24.95" customHeight="1" thickBot="1" x14ac:dyDescent="0.3">
      <c r="A30" s="42" t="s">
        <v>110</v>
      </c>
      <c r="B30" s="40"/>
      <c r="C30" s="38"/>
      <c r="D30" s="88"/>
      <c r="E30" s="39"/>
    </row>
    <row r="31" spans="1:5" ht="24.95" customHeight="1" thickBot="1" x14ac:dyDescent="0.3">
      <c r="A31" s="42" t="s">
        <v>94</v>
      </c>
      <c r="B31" s="39"/>
      <c r="C31" s="38"/>
      <c r="D31" s="87" t="s">
        <v>94</v>
      </c>
      <c r="E31" s="39"/>
    </row>
    <row r="32" spans="1:5" ht="24.95" customHeight="1" thickBot="1" x14ac:dyDescent="0.3">
      <c r="A32" s="42" t="s">
        <v>111</v>
      </c>
      <c r="B32" s="40"/>
      <c r="C32" s="39"/>
      <c r="D32" s="88"/>
      <c r="E32" s="39"/>
    </row>
    <row r="33" spans="1:5" ht="24.95" customHeight="1" thickBot="1" x14ac:dyDescent="0.3">
      <c r="A33" s="42" t="s">
        <v>95</v>
      </c>
      <c r="B33" s="39"/>
      <c r="C33" s="38"/>
      <c r="D33" s="87" t="s">
        <v>95</v>
      </c>
      <c r="E33" s="40"/>
    </row>
    <row r="34" spans="1:5" ht="24.95" customHeight="1" thickBot="1" x14ac:dyDescent="0.3">
      <c r="A34" s="42" t="s">
        <v>112</v>
      </c>
      <c r="B34" s="39"/>
      <c r="C34" s="38"/>
      <c r="D34" s="88"/>
      <c r="E34" s="38"/>
    </row>
    <row r="35" spans="1:5" ht="24.95" customHeight="1" thickBot="1" x14ac:dyDescent="0.3">
      <c r="A35" s="42" t="s">
        <v>96</v>
      </c>
      <c r="B35" s="39"/>
      <c r="C35" s="38"/>
      <c r="D35" s="87" t="s">
        <v>96</v>
      </c>
      <c r="E35" s="39"/>
    </row>
    <row r="36" spans="1:5" ht="24.95" customHeight="1" thickBot="1" x14ac:dyDescent="0.3">
      <c r="A36" s="42" t="s">
        <v>113</v>
      </c>
      <c r="B36" s="39"/>
      <c r="C36" s="38"/>
      <c r="D36" s="88"/>
      <c r="E36" s="38"/>
    </row>
  </sheetData>
  <mergeCells count="20">
    <mergeCell ref="D19:D20"/>
    <mergeCell ref="A1:E1"/>
    <mergeCell ref="A2:C2"/>
    <mergeCell ref="D2:E2"/>
    <mergeCell ref="D3:D4"/>
    <mergeCell ref="D5:D6"/>
    <mergeCell ref="D7:D8"/>
    <mergeCell ref="D9:D10"/>
    <mergeCell ref="D11:D12"/>
    <mergeCell ref="D13:D14"/>
    <mergeCell ref="D15:D16"/>
    <mergeCell ref="D17:D18"/>
    <mergeCell ref="D33:D34"/>
    <mergeCell ref="D35:D36"/>
    <mergeCell ref="D21:D22"/>
    <mergeCell ref="D23:D24"/>
    <mergeCell ref="D25:D26"/>
    <mergeCell ref="D27:D28"/>
    <mergeCell ref="D29:D30"/>
    <mergeCell ref="D31:D32"/>
  </mergeCells>
  <printOptions gridLines="1"/>
  <pageMargins left="0.7" right="0.7" top="0.75" bottom="0.75" header="0.3" footer="0.3"/>
  <pageSetup scale="75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4E4E9-5A7F-4359-85AF-C49EDFB0090C}">
  <sheetPr>
    <pageSetUpPr fitToPage="1"/>
  </sheetPr>
  <dimension ref="A1:E36"/>
  <sheetViews>
    <sheetView workbookViewId="0">
      <selection activeCell="A2" sqref="A2:H14"/>
    </sheetView>
  </sheetViews>
  <sheetFormatPr defaultRowHeight="15" x14ac:dyDescent="0.25"/>
  <cols>
    <col min="1" max="1" width="10.7109375" style="45" customWidth="1"/>
    <col min="2" max="3" width="32.7109375" customWidth="1"/>
    <col min="4" max="4" width="10.7109375" style="45" customWidth="1"/>
    <col min="5" max="5" width="32.7109375" customWidth="1"/>
  </cols>
  <sheetData>
    <row r="1" spans="1:5" ht="24.95" customHeight="1" thickBot="1" x14ac:dyDescent="0.3">
      <c r="A1" s="89" t="s">
        <v>72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2" t="s">
        <v>71</v>
      </c>
      <c r="E2" s="94"/>
    </row>
    <row r="3" spans="1:5" ht="24.95" customHeight="1" thickBot="1" x14ac:dyDescent="0.3">
      <c r="A3" s="44">
        <v>1130</v>
      </c>
      <c r="B3" s="38"/>
      <c r="C3" s="38"/>
      <c r="D3" s="46">
        <v>1130</v>
      </c>
      <c r="E3" s="39"/>
    </row>
    <row r="4" spans="1:5" ht="24.95" customHeight="1" thickBot="1" x14ac:dyDescent="0.3">
      <c r="A4" s="44">
        <v>1145</v>
      </c>
      <c r="B4" s="39"/>
      <c r="C4" s="39"/>
      <c r="D4" s="46"/>
      <c r="E4" s="39"/>
    </row>
    <row r="5" spans="1:5" ht="24.95" customHeight="1" thickBot="1" x14ac:dyDescent="0.3">
      <c r="A5" s="44">
        <v>1200</v>
      </c>
      <c r="B5" s="39"/>
      <c r="C5" s="38"/>
      <c r="D5" s="46">
        <v>1200</v>
      </c>
      <c r="E5" s="39"/>
    </row>
    <row r="6" spans="1:5" ht="24.95" customHeight="1" thickBot="1" x14ac:dyDescent="0.3">
      <c r="A6" s="44">
        <v>1215</v>
      </c>
      <c r="B6" s="39"/>
      <c r="C6" s="39"/>
      <c r="D6" s="46"/>
      <c r="E6" s="39"/>
    </row>
    <row r="7" spans="1:5" ht="24.95" customHeight="1" thickBot="1" x14ac:dyDescent="0.3">
      <c r="A7" s="44">
        <v>1230</v>
      </c>
      <c r="B7" s="39"/>
      <c r="C7" s="38"/>
      <c r="D7" s="46">
        <v>1230</v>
      </c>
      <c r="E7" s="39"/>
    </row>
    <row r="8" spans="1:5" ht="24.95" customHeight="1" thickBot="1" x14ac:dyDescent="0.3">
      <c r="A8" s="44">
        <v>1245</v>
      </c>
      <c r="B8" s="39"/>
      <c r="C8" s="39"/>
      <c r="D8" s="46"/>
      <c r="E8" s="39"/>
    </row>
    <row r="9" spans="1:5" ht="24.95" customHeight="1" thickBot="1" x14ac:dyDescent="0.3">
      <c r="A9" s="44">
        <v>1300</v>
      </c>
      <c r="B9" s="39"/>
      <c r="C9" s="38"/>
      <c r="D9" s="46">
        <v>1300</v>
      </c>
      <c r="E9" s="39"/>
    </row>
    <row r="10" spans="1:5" ht="24.95" customHeight="1" thickBot="1" x14ac:dyDescent="0.3">
      <c r="A10" s="44">
        <v>1315</v>
      </c>
      <c r="B10" s="39"/>
      <c r="C10" s="38"/>
      <c r="D10" s="46"/>
      <c r="E10" s="39"/>
    </row>
    <row r="11" spans="1:5" ht="24.95" customHeight="1" thickBot="1" x14ac:dyDescent="0.3">
      <c r="A11" s="44">
        <v>1330</v>
      </c>
      <c r="B11" s="39"/>
      <c r="C11" s="38"/>
      <c r="D11" s="46">
        <v>1330</v>
      </c>
      <c r="E11" s="39"/>
    </row>
    <row r="12" spans="1:5" ht="24.95" customHeight="1" thickBot="1" x14ac:dyDescent="0.3">
      <c r="A12" s="44">
        <v>1345</v>
      </c>
      <c r="B12" s="39"/>
      <c r="C12" s="38"/>
      <c r="D12" s="46"/>
      <c r="E12" s="40"/>
    </row>
    <row r="13" spans="1:5" ht="24.95" customHeight="1" thickBot="1" x14ac:dyDescent="0.3">
      <c r="A13" s="44">
        <v>1400</v>
      </c>
      <c r="B13" s="39"/>
      <c r="C13" s="39"/>
      <c r="D13" s="46">
        <v>1400</v>
      </c>
      <c r="E13" s="39"/>
    </row>
    <row r="14" spans="1:5" ht="24.95" customHeight="1" thickBot="1" x14ac:dyDescent="0.3">
      <c r="A14" s="44">
        <v>1415</v>
      </c>
      <c r="B14" s="39"/>
      <c r="C14" s="40"/>
      <c r="D14" s="47"/>
      <c r="E14" s="38"/>
    </row>
    <row r="15" spans="1:5" ht="24.95" customHeight="1" thickBot="1" x14ac:dyDescent="0.3">
      <c r="A15" s="44">
        <v>1430</v>
      </c>
      <c r="B15" s="39"/>
      <c r="C15" s="38"/>
      <c r="D15" s="46">
        <v>1430</v>
      </c>
      <c r="E15" s="39"/>
    </row>
    <row r="16" spans="1:5" ht="24.95" customHeight="1" thickBot="1" x14ac:dyDescent="0.3">
      <c r="A16" s="44">
        <v>1445</v>
      </c>
      <c r="B16" s="39"/>
      <c r="C16" s="40"/>
      <c r="D16" s="47"/>
      <c r="E16" s="38"/>
    </row>
    <row r="17" spans="1:5" ht="24.95" customHeight="1" thickBot="1" x14ac:dyDescent="0.3">
      <c r="A17" s="44">
        <v>1500</v>
      </c>
      <c r="B17" s="39"/>
      <c r="C17" s="38"/>
      <c r="D17" s="46">
        <v>1500</v>
      </c>
      <c r="E17" s="39"/>
    </row>
    <row r="18" spans="1:5" ht="24.95" customHeight="1" thickBot="1" x14ac:dyDescent="0.3">
      <c r="A18" s="44">
        <v>1515</v>
      </c>
      <c r="B18" s="39"/>
      <c r="C18" s="40"/>
      <c r="D18" s="47"/>
      <c r="E18" s="38"/>
    </row>
    <row r="19" spans="1:5" ht="24.95" customHeight="1" thickBot="1" x14ac:dyDescent="0.3">
      <c r="A19" s="44">
        <v>1530</v>
      </c>
      <c r="B19" s="39"/>
      <c r="C19" s="38"/>
      <c r="D19" s="46">
        <v>1530</v>
      </c>
      <c r="E19" s="39"/>
    </row>
    <row r="20" spans="1:5" ht="24.95" customHeight="1" thickBot="1" x14ac:dyDescent="0.3">
      <c r="A20" s="44">
        <v>1545</v>
      </c>
      <c r="B20" s="39"/>
      <c r="C20" s="40"/>
      <c r="D20" s="47"/>
      <c r="E20" s="38"/>
    </row>
    <row r="21" spans="1:5" ht="24.95" customHeight="1" thickBot="1" x14ac:dyDescent="0.3">
      <c r="A21" s="44">
        <v>1600</v>
      </c>
      <c r="B21" s="39"/>
      <c r="C21" s="38"/>
      <c r="D21" s="46">
        <v>1600</v>
      </c>
      <c r="E21" s="39"/>
    </row>
    <row r="22" spans="1:5" ht="24.95" customHeight="1" thickBot="1" x14ac:dyDescent="0.3">
      <c r="A22" s="44">
        <v>1615</v>
      </c>
      <c r="B22" s="39"/>
      <c r="C22" s="40"/>
      <c r="D22" s="47"/>
      <c r="E22" s="38"/>
    </row>
    <row r="23" spans="1:5" ht="24.95" customHeight="1" thickBot="1" x14ac:dyDescent="0.3">
      <c r="A23" s="44">
        <v>1630</v>
      </c>
      <c r="B23" s="39"/>
      <c r="C23" s="38"/>
      <c r="D23" s="46">
        <v>1630</v>
      </c>
      <c r="E23" s="39"/>
    </row>
    <row r="24" spans="1:5" ht="24.95" customHeight="1" thickBot="1" x14ac:dyDescent="0.3">
      <c r="A24" s="44">
        <v>1645</v>
      </c>
      <c r="B24" s="39"/>
      <c r="C24" s="40"/>
      <c r="D24" s="47"/>
      <c r="E24" s="38"/>
    </row>
    <row r="25" spans="1:5" ht="24.95" customHeight="1" thickBot="1" x14ac:dyDescent="0.3">
      <c r="A25" s="44">
        <v>1700</v>
      </c>
      <c r="B25" s="39"/>
      <c r="C25" s="38"/>
      <c r="D25" s="46">
        <v>1700</v>
      </c>
      <c r="E25" s="39"/>
    </row>
    <row r="26" spans="1:5" ht="24.95" customHeight="1" thickBot="1" x14ac:dyDescent="0.3">
      <c r="A26" s="44">
        <v>1715</v>
      </c>
      <c r="B26" s="39"/>
      <c r="C26" s="38"/>
      <c r="D26" s="47"/>
      <c r="E26" s="38"/>
    </row>
    <row r="27" spans="1:5" ht="24.95" customHeight="1" thickBot="1" x14ac:dyDescent="0.3">
      <c r="A27" s="44">
        <v>1730</v>
      </c>
      <c r="B27" s="39"/>
      <c r="C27" s="38"/>
      <c r="D27" s="46">
        <v>1730</v>
      </c>
      <c r="E27" s="39"/>
    </row>
    <row r="28" spans="1:5" ht="24.95" customHeight="1" thickBot="1" x14ac:dyDescent="0.3">
      <c r="A28" s="44">
        <v>1745</v>
      </c>
      <c r="B28" s="39"/>
      <c r="C28" s="40"/>
      <c r="D28" s="46"/>
      <c r="E28" s="39"/>
    </row>
    <row r="29" spans="1:5" ht="24.95" customHeight="1" thickBot="1" x14ac:dyDescent="0.3">
      <c r="A29" s="44">
        <v>1800</v>
      </c>
      <c r="B29" s="39"/>
      <c r="C29" s="38"/>
      <c r="D29" s="46">
        <v>1800</v>
      </c>
      <c r="E29" s="39"/>
    </row>
    <row r="30" spans="1:5" ht="24.95" customHeight="1" thickBot="1" x14ac:dyDescent="0.3">
      <c r="A30" s="44">
        <v>1815</v>
      </c>
      <c r="B30" s="39"/>
      <c r="C30" s="39"/>
      <c r="D30" s="46"/>
      <c r="E30" s="39"/>
    </row>
    <row r="31" spans="1:5" ht="24.95" customHeight="1" thickBot="1" x14ac:dyDescent="0.3">
      <c r="A31" s="44">
        <v>1830</v>
      </c>
      <c r="B31" s="39"/>
      <c r="C31" s="39"/>
      <c r="D31" s="46">
        <v>1830</v>
      </c>
      <c r="E31" s="39"/>
    </row>
    <row r="32" spans="1:5" ht="24.95" customHeight="1" thickBot="1" x14ac:dyDescent="0.3">
      <c r="A32" s="44">
        <v>1845</v>
      </c>
      <c r="B32" s="39"/>
      <c r="C32" s="40"/>
      <c r="D32" s="46"/>
      <c r="E32" s="39"/>
    </row>
    <row r="33" spans="1:5" ht="24.95" customHeight="1" thickBot="1" x14ac:dyDescent="0.3">
      <c r="A33" s="44">
        <v>1900</v>
      </c>
      <c r="B33" s="39"/>
      <c r="C33" s="38"/>
      <c r="D33" s="46">
        <v>1900</v>
      </c>
      <c r="E33" s="39"/>
    </row>
    <row r="34" spans="1:5" ht="24.95" customHeight="1" thickBot="1" x14ac:dyDescent="0.3">
      <c r="A34" s="44">
        <v>1915</v>
      </c>
      <c r="B34" s="39"/>
      <c r="C34" s="39"/>
      <c r="D34" s="46"/>
      <c r="E34" s="39"/>
    </row>
    <row r="35" spans="1:5" ht="24.95" customHeight="1" thickBot="1" x14ac:dyDescent="0.3">
      <c r="A35" s="44">
        <v>1930</v>
      </c>
      <c r="B35" s="39"/>
      <c r="C35" s="38"/>
      <c r="D35" s="46">
        <v>1930</v>
      </c>
      <c r="E35" s="39"/>
    </row>
    <row r="36" spans="1:5" ht="24.95" customHeight="1" thickBot="1" x14ac:dyDescent="0.3">
      <c r="A36" s="44">
        <v>1945</v>
      </c>
      <c r="B36" s="39"/>
      <c r="C36" s="40"/>
      <c r="D36" s="46"/>
      <c r="E36" s="39"/>
    </row>
  </sheetData>
  <mergeCells count="3">
    <mergeCell ref="A1:E1"/>
    <mergeCell ref="A2:C2"/>
    <mergeCell ref="D2:E2"/>
  </mergeCells>
  <pageMargins left="0.7" right="0.7" top="0.75" bottom="0.75" header="0.3" footer="0.3"/>
  <pageSetup scale="75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86302-48D5-424E-ADD9-4A06E066241E}">
  <sheetPr>
    <pageSetUpPr fitToPage="1"/>
  </sheetPr>
  <dimension ref="A1:E36"/>
  <sheetViews>
    <sheetView topLeftCell="A11" zoomScale="90" zoomScaleNormal="90" workbookViewId="0">
      <selection activeCell="A2" sqref="A2:H14"/>
    </sheetView>
  </sheetViews>
  <sheetFormatPr defaultRowHeight="15" x14ac:dyDescent="0.25"/>
  <cols>
    <col min="1" max="1" width="10.7109375" style="43" customWidth="1"/>
    <col min="2" max="3" width="32.7109375" customWidth="1"/>
    <col min="4" max="4" width="10.7109375" style="43" customWidth="1"/>
    <col min="5" max="5" width="32.7109375" customWidth="1"/>
  </cols>
  <sheetData>
    <row r="1" spans="1:5" ht="24.95" customHeight="1" thickBot="1" x14ac:dyDescent="0.3">
      <c r="A1" s="89" t="s">
        <v>73</v>
      </c>
      <c r="B1" s="90"/>
      <c r="C1" s="90"/>
      <c r="D1" s="90"/>
      <c r="E1" s="91"/>
    </row>
    <row r="2" spans="1:5" ht="24.95" customHeight="1" thickBot="1" x14ac:dyDescent="0.3">
      <c r="A2" s="92" t="s">
        <v>70</v>
      </c>
      <c r="B2" s="93"/>
      <c r="C2" s="94"/>
      <c r="D2" s="92" t="s">
        <v>71</v>
      </c>
      <c r="E2" s="94"/>
    </row>
    <row r="3" spans="1:5" ht="24.95" customHeight="1" thickBot="1" x14ac:dyDescent="0.3">
      <c r="A3" s="42">
        <v>2000</v>
      </c>
      <c r="B3" s="39"/>
      <c r="C3" s="38"/>
      <c r="D3" s="48">
        <v>2000</v>
      </c>
      <c r="E3" s="39"/>
    </row>
    <row r="4" spans="1:5" ht="24.95" customHeight="1" thickBot="1" x14ac:dyDescent="0.3">
      <c r="A4" s="42">
        <v>2015</v>
      </c>
      <c r="B4" s="39"/>
      <c r="C4" s="40"/>
      <c r="D4" s="49"/>
      <c r="E4" s="38"/>
    </row>
    <row r="5" spans="1:5" ht="24.95" customHeight="1" thickBot="1" x14ac:dyDescent="0.3">
      <c r="A5" s="42">
        <v>2030</v>
      </c>
      <c r="B5" s="39"/>
      <c r="C5" s="38"/>
      <c r="D5" s="48">
        <v>2030</v>
      </c>
      <c r="E5" s="39"/>
    </row>
    <row r="6" spans="1:5" ht="24.95" customHeight="1" thickBot="1" x14ac:dyDescent="0.3">
      <c r="A6" s="42">
        <v>2045</v>
      </c>
      <c r="B6" s="40"/>
      <c r="C6" s="40"/>
      <c r="D6" s="49"/>
      <c r="E6" s="38"/>
    </row>
    <row r="7" spans="1:5" ht="24.95" customHeight="1" thickBot="1" x14ac:dyDescent="0.3">
      <c r="A7" s="42">
        <v>2100</v>
      </c>
      <c r="B7" s="38"/>
      <c r="C7" s="38"/>
      <c r="D7" s="48">
        <v>2100</v>
      </c>
      <c r="E7" s="39"/>
    </row>
    <row r="8" spans="1:5" ht="24.95" customHeight="1" thickBot="1" x14ac:dyDescent="0.3">
      <c r="A8" s="42">
        <v>2115</v>
      </c>
      <c r="B8" s="39"/>
      <c r="C8" s="38"/>
      <c r="D8" s="49"/>
      <c r="E8" s="38"/>
    </row>
    <row r="9" spans="1:5" ht="24.95" customHeight="1" thickBot="1" x14ac:dyDescent="0.3">
      <c r="A9" s="42">
        <v>2130</v>
      </c>
      <c r="B9" s="39"/>
      <c r="C9" s="39"/>
      <c r="D9" s="48">
        <v>2130</v>
      </c>
      <c r="E9" s="40"/>
    </row>
    <row r="10" spans="1:5" ht="24.95" customHeight="1" thickBot="1" x14ac:dyDescent="0.3">
      <c r="A10" s="42">
        <v>2145</v>
      </c>
      <c r="B10" s="39"/>
      <c r="C10" s="38"/>
      <c r="D10" s="48"/>
      <c r="E10" s="40"/>
    </row>
    <row r="11" spans="1:5" ht="24.95" customHeight="1" thickBot="1" x14ac:dyDescent="0.3">
      <c r="A11" s="42">
        <v>2200</v>
      </c>
      <c r="B11" s="39"/>
      <c r="C11" s="39"/>
      <c r="D11" s="48">
        <v>2200</v>
      </c>
      <c r="E11" s="40"/>
    </row>
    <row r="12" spans="1:5" ht="24.95" customHeight="1" thickBot="1" x14ac:dyDescent="0.3">
      <c r="A12" s="42">
        <v>2215</v>
      </c>
      <c r="B12" s="39"/>
      <c r="C12" s="38"/>
      <c r="D12" s="48"/>
      <c r="E12" s="40"/>
    </row>
    <row r="13" spans="1:5" ht="24.95" customHeight="1" thickBot="1" x14ac:dyDescent="0.3">
      <c r="A13" s="42">
        <v>2230</v>
      </c>
      <c r="B13" s="39"/>
      <c r="C13" s="39"/>
      <c r="D13" s="48">
        <v>2230</v>
      </c>
      <c r="E13" s="40"/>
    </row>
    <row r="14" spans="1:5" ht="24.95" customHeight="1" thickBot="1" x14ac:dyDescent="0.3">
      <c r="A14" s="42">
        <v>2245</v>
      </c>
      <c r="B14" s="39"/>
      <c r="C14" s="38"/>
      <c r="D14" s="48"/>
      <c r="E14" s="40"/>
    </row>
    <row r="15" spans="1:5" ht="24.95" customHeight="1" thickBot="1" x14ac:dyDescent="0.3">
      <c r="A15" s="42">
        <v>2300</v>
      </c>
      <c r="B15" s="39"/>
      <c r="C15" s="39"/>
      <c r="D15" s="48">
        <v>2300</v>
      </c>
      <c r="E15" s="40"/>
    </row>
    <row r="16" spans="1:5" ht="24.95" customHeight="1" thickBot="1" x14ac:dyDescent="0.3">
      <c r="A16" s="42">
        <v>2315</v>
      </c>
      <c r="B16" s="39"/>
      <c r="C16" s="38"/>
      <c r="D16" s="48"/>
      <c r="E16" s="40"/>
    </row>
    <row r="17" spans="1:5" ht="24.95" customHeight="1" thickBot="1" x14ac:dyDescent="0.3">
      <c r="A17" s="42">
        <v>2330</v>
      </c>
      <c r="B17" s="39"/>
      <c r="C17" s="39"/>
      <c r="D17" s="48">
        <v>2330</v>
      </c>
      <c r="E17" s="40"/>
    </row>
    <row r="18" spans="1:5" ht="24.95" customHeight="1" thickBot="1" x14ac:dyDescent="0.3">
      <c r="A18" s="42">
        <v>2345</v>
      </c>
      <c r="B18" s="39"/>
      <c r="C18" s="38"/>
      <c r="D18" s="48"/>
      <c r="E18" s="40"/>
    </row>
    <row r="19" spans="1:5" ht="24.95" customHeight="1" thickBot="1" x14ac:dyDescent="0.3">
      <c r="A19" s="42" t="s">
        <v>115</v>
      </c>
      <c r="B19" s="39"/>
      <c r="C19" s="39"/>
      <c r="D19" s="48" t="s">
        <v>115</v>
      </c>
      <c r="E19" s="40"/>
    </row>
    <row r="20" spans="1:5" ht="24.95" customHeight="1" thickBot="1" x14ac:dyDescent="0.3">
      <c r="A20" s="42" t="s">
        <v>121</v>
      </c>
      <c r="B20" s="39"/>
      <c r="C20" s="39"/>
      <c r="D20" s="49"/>
      <c r="E20" s="38"/>
    </row>
    <row r="21" spans="1:5" ht="24.95" customHeight="1" thickBot="1" x14ac:dyDescent="0.3">
      <c r="A21" s="42" t="s">
        <v>116</v>
      </c>
      <c r="B21" s="39"/>
      <c r="C21" s="38"/>
      <c r="D21" s="48" t="s">
        <v>116</v>
      </c>
      <c r="E21" s="40"/>
    </row>
    <row r="22" spans="1:5" ht="24.95" customHeight="1" thickBot="1" x14ac:dyDescent="0.3">
      <c r="A22" s="42" t="s">
        <v>122</v>
      </c>
      <c r="B22" s="39"/>
      <c r="C22" s="40"/>
      <c r="D22" s="49"/>
      <c r="E22" s="39"/>
    </row>
    <row r="23" spans="1:5" ht="24.95" customHeight="1" thickBot="1" x14ac:dyDescent="0.3">
      <c r="A23" s="42" t="s">
        <v>117</v>
      </c>
      <c r="B23" s="39"/>
      <c r="C23" s="38"/>
      <c r="D23" s="48" t="s">
        <v>117</v>
      </c>
      <c r="E23" s="40"/>
    </row>
    <row r="24" spans="1:5" ht="24.95" customHeight="1" thickBot="1" x14ac:dyDescent="0.3">
      <c r="A24" s="42" t="s">
        <v>123</v>
      </c>
      <c r="B24" s="39"/>
      <c r="C24" s="40"/>
      <c r="D24" s="71"/>
      <c r="E24" s="70"/>
    </row>
    <row r="25" spans="1:5" ht="24.95" customHeight="1" thickBot="1" x14ac:dyDescent="0.3">
      <c r="A25" s="42" t="s">
        <v>118</v>
      </c>
      <c r="B25" s="39"/>
      <c r="C25" s="39"/>
      <c r="D25" s="48" t="s">
        <v>118</v>
      </c>
      <c r="E25" s="70"/>
    </row>
    <row r="26" spans="1:5" ht="24.95" customHeight="1" thickBot="1" x14ac:dyDescent="0.3">
      <c r="A26" s="42" t="s">
        <v>124</v>
      </c>
      <c r="B26" s="39"/>
      <c r="C26" s="40"/>
      <c r="D26" s="71"/>
      <c r="E26" s="70"/>
    </row>
    <row r="27" spans="1:5" ht="24.95" customHeight="1" thickBot="1" x14ac:dyDescent="0.3">
      <c r="A27" s="42" t="s">
        <v>119</v>
      </c>
      <c r="B27" s="39"/>
      <c r="C27" s="38"/>
      <c r="D27" s="48" t="s">
        <v>119</v>
      </c>
      <c r="E27" s="70"/>
    </row>
    <row r="28" spans="1:5" ht="24.95" customHeight="1" thickBot="1" x14ac:dyDescent="0.3">
      <c r="A28" s="42" t="s">
        <v>125</v>
      </c>
      <c r="B28" s="39"/>
      <c r="C28" s="39"/>
      <c r="D28" s="71"/>
      <c r="E28" s="70"/>
    </row>
    <row r="29" spans="1:5" ht="24.95" customHeight="1" thickBot="1" x14ac:dyDescent="0.3">
      <c r="A29" s="42" t="s">
        <v>120</v>
      </c>
      <c r="B29" s="39"/>
      <c r="C29" s="38"/>
      <c r="D29" s="48" t="s">
        <v>120</v>
      </c>
      <c r="E29" s="70"/>
    </row>
    <row r="30" spans="1:5" ht="24.95" customHeight="1" thickBot="1" x14ac:dyDescent="0.3">
      <c r="A30" s="42" t="s">
        <v>126</v>
      </c>
      <c r="B30" s="39"/>
      <c r="C30" s="70"/>
      <c r="D30" s="71"/>
      <c r="E30" s="39"/>
    </row>
    <row r="31" spans="1:5" x14ac:dyDescent="0.25">
      <c r="A31" s="99" t="s">
        <v>74</v>
      </c>
      <c r="B31" s="99"/>
      <c r="C31" s="99"/>
      <c r="D31" s="99"/>
      <c r="E31" s="99"/>
    </row>
    <row r="32" spans="1:5" x14ac:dyDescent="0.25">
      <c r="A32" s="98" t="s">
        <v>75</v>
      </c>
      <c r="B32" s="98"/>
      <c r="C32" s="98"/>
      <c r="D32" s="98"/>
      <c r="E32" s="98"/>
    </row>
    <row r="33" spans="1:5" x14ac:dyDescent="0.25">
      <c r="A33" s="98" t="s">
        <v>76</v>
      </c>
      <c r="B33" s="98"/>
      <c r="C33" s="98"/>
      <c r="D33" s="98"/>
      <c r="E33" s="98"/>
    </row>
    <row r="34" spans="1:5" ht="30" customHeight="1" x14ac:dyDescent="0.25">
      <c r="A34" s="97" t="s">
        <v>77</v>
      </c>
      <c r="B34" s="97"/>
      <c r="C34" s="97"/>
      <c r="D34" s="97"/>
      <c r="E34" s="97"/>
    </row>
    <row r="35" spans="1:5" x14ac:dyDescent="0.25">
      <c r="A35" s="98" t="s">
        <v>78</v>
      </c>
      <c r="B35" s="98"/>
      <c r="C35" s="98"/>
      <c r="D35" s="98"/>
      <c r="E35" s="98"/>
    </row>
    <row r="36" spans="1:5" x14ac:dyDescent="0.25">
      <c r="A36" s="98" t="s">
        <v>79</v>
      </c>
      <c r="B36" s="98"/>
      <c r="C36" s="98"/>
      <c r="D36" s="98"/>
      <c r="E36" s="98"/>
    </row>
  </sheetData>
  <mergeCells count="9">
    <mergeCell ref="A34:E34"/>
    <mergeCell ref="A35:E35"/>
    <mergeCell ref="A36:E36"/>
    <mergeCell ref="A1:E1"/>
    <mergeCell ref="A2:C2"/>
    <mergeCell ref="D2:E2"/>
    <mergeCell ref="A31:E31"/>
    <mergeCell ref="A32:E32"/>
    <mergeCell ref="A33:E33"/>
  </mergeCells>
  <pageMargins left="0.7" right="0.7" top="0.75" bottom="0.75" header="0.3" footer="0.3"/>
  <pageSetup scale="75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A0313-4147-4CB5-BA20-2AA9C8A167FB}">
  <sheetPr codeName="Sheet10"/>
  <dimension ref="A1:G45"/>
  <sheetViews>
    <sheetView workbookViewId="0"/>
  </sheetViews>
  <sheetFormatPr defaultRowHeight="15" x14ac:dyDescent="0.25"/>
  <cols>
    <col min="1" max="6" width="15.7109375" customWidth="1"/>
    <col min="7" max="7" width="15.85546875" bestFit="1" customWidth="1"/>
  </cols>
  <sheetData>
    <row r="1" spans="1:7" x14ac:dyDescent="0.25">
      <c r="A1" s="25" t="s">
        <v>67</v>
      </c>
    </row>
    <row r="3" spans="1:7" x14ac:dyDescent="0.25">
      <c r="A3" s="25" t="s">
        <v>68</v>
      </c>
      <c r="B3" s="25" t="s">
        <v>21</v>
      </c>
      <c r="C3" s="25" t="s">
        <v>22</v>
      </c>
      <c r="D3" s="25" t="s">
        <v>37</v>
      </c>
      <c r="E3" s="25" t="s">
        <v>19</v>
      </c>
      <c r="F3" s="25" t="s">
        <v>24</v>
      </c>
      <c r="G3" s="25" t="s">
        <v>159</v>
      </c>
    </row>
    <row r="4" spans="1:7" x14ac:dyDescent="0.25">
      <c r="A4" s="51" t="s">
        <v>32</v>
      </c>
      <c r="B4" s="69" t="s">
        <v>23</v>
      </c>
      <c r="C4" s="51" t="s">
        <v>44</v>
      </c>
      <c r="D4" s="51" t="s">
        <v>25</v>
      </c>
      <c r="E4" s="50" t="s">
        <v>49</v>
      </c>
      <c r="F4" s="50" t="s">
        <v>45</v>
      </c>
      <c r="G4" s="50" t="s">
        <v>160</v>
      </c>
    </row>
    <row r="5" spans="1:7" x14ac:dyDescent="0.25">
      <c r="A5" s="51" t="s">
        <v>27</v>
      </c>
      <c r="B5" s="69" t="s">
        <v>41</v>
      </c>
      <c r="C5" s="51" t="s">
        <v>128</v>
      </c>
      <c r="D5" s="51" t="s">
        <v>127</v>
      </c>
      <c r="E5" s="66" t="s">
        <v>33</v>
      </c>
      <c r="F5" s="50" t="s">
        <v>34</v>
      </c>
      <c r="G5" s="50" t="s">
        <v>157</v>
      </c>
    </row>
    <row r="6" spans="1:7" x14ac:dyDescent="0.25">
      <c r="A6" s="50" t="s">
        <v>36</v>
      </c>
      <c r="B6" s="68" t="s">
        <v>145</v>
      </c>
      <c r="C6" s="51" t="s">
        <v>60</v>
      </c>
      <c r="D6" s="51" t="s">
        <v>66</v>
      </c>
      <c r="E6" s="66" t="s">
        <v>38</v>
      </c>
      <c r="F6" s="51" t="s">
        <v>51</v>
      </c>
      <c r="G6" s="50" t="s">
        <v>162</v>
      </c>
    </row>
    <row r="7" spans="1:7" x14ac:dyDescent="0.25">
      <c r="A7" s="66" t="s">
        <v>40</v>
      </c>
      <c r="B7" s="69" t="s">
        <v>43</v>
      </c>
      <c r="C7" s="51" t="s">
        <v>185</v>
      </c>
      <c r="D7" s="51" t="s">
        <v>53</v>
      </c>
      <c r="E7" s="66" t="s">
        <v>54</v>
      </c>
      <c r="F7" s="51" t="s">
        <v>50</v>
      </c>
      <c r="G7" s="72" t="s">
        <v>175</v>
      </c>
    </row>
    <row r="8" spans="1:7" ht="15.75" customHeight="1" x14ac:dyDescent="0.25">
      <c r="A8" s="51" t="s">
        <v>28</v>
      </c>
      <c r="B8" s="68" t="s">
        <v>140</v>
      </c>
      <c r="D8" s="51" t="s">
        <v>62</v>
      </c>
      <c r="E8" s="66" t="s">
        <v>57</v>
      </c>
      <c r="F8" s="50" t="s">
        <v>55</v>
      </c>
      <c r="G8" s="72" t="s">
        <v>190</v>
      </c>
    </row>
    <row r="9" spans="1:7" x14ac:dyDescent="0.25">
      <c r="A9" s="51" t="s">
        <v>42</v>
      </c>
      <c r="B9" s="51" t="s">
        <v>29</v>
      </c>
      <c r="C9" s="51"/>
      <c r="D9" s="51" t="s">
        <v>58</v>
      </c>
      <c r="E9" s="66" t="s">
        <v>59</v>
      </c>
      <c r="F9" s="50" t="s">
        <v>137</v>
      </c>
      <c r="G9" s="72" t="s">
        <v>185</v>
      </c>
    </row>
    <row r="10" spans="1:7" x14ac:dyDescent="0.25">
      <c r="A10" s="51" t="s">
        <v>31</v>
      </c>
      <c r="B10" s="51" t="s">
        <v>158</v>
      </c>
      <c r="C10" s="72"/>
      <c r="D10" s="66" t="s">
        <v>131</v>
      </c>
      <c r="E10" s="66" t="s">
        <v>181</v>
      </c>
      <c r="F10" s="51" t="s">
        <v>173</v>
      </c>
      <c r="G10" s="72" t="s">
        <v>187</v>
      </c>
    </row>
    <row r="11" spans="1:7" x14ac:dyDescent="0.25">
      <c r="A11" s="66" t="s">
        <v>130</v>
      </c>
      <c r="B11" s="69" t="s">
        <v>146</v>
      </c>
      <c r="C11" s="72"/>
      <c r="D11" s="51" t="s">
        <v>135</v>
      </c>
      <c r="E11" s="66" t="s">
        <v>133</v>
      </c>
      <c r="F11" s="50" t="s">
        <v>129</v>
      </c>
      <c r="G11" s="72"/>
    </row>
    <row r="12" spans="1:7" x14ac:dyDescent="0.25">
      <c r="A12" s="51" t="s">
        <v>172</v>
      </c>
      <c r="B12" s="69" t="s">
        <v>52</v>
      </c>
      <c r="C12" s="72"/>
      <c r="D12" s="51" t="s">
        <v>180</v>
      </c>
      <c r="E12" s="66" t="s">
        <v>134</v>
      </c>
      <c r="F12" s="66" t="s">
        <v>174</v>
      </c>
    </row>
    <row r="13" spans="1:7" x14ac:dyDescent="0.25">
      <c r="A13" s="51" t="s">
        <v>177</v>
      </c>
      <c r="B13" s="69" t="s">
        <v>30</v>
      </c>
      <c r="C13" s="72"/>
      <c r="D13" s="51" t="s">
        <v>153</v>
      </c>
      <c r="E13" s="66" t="s">
        <v>138</v>
      </c>
      <c r="F13" s="51" t="s">
        <v>144</v>
      </c>
    </row>
    <row r="14" spans="1:7" x14ac:dyDescent="0.25">
      <c r="A14" s="66" t="s">
        <v>136</v>
      </c>
      <c r="B14" s="51" t="s">
        <v>35</v>
      </c>
      <c r="C14" s="51"/>
      <c r="D14" s="50" t="s">
        <v>167</v>
      </c>
      <c r="E14" s="66" t="s">
        <v>186</v>
      </c>
      <c r="F14" s="51" t="s">
        <v>150</v>
      </c>
      <c r="G14" s="72"/>
    </row>
    <row r="15" spans="1:7" x14ac:dyDescent="0.25">
      <c r="A15" s="66" t="s">
        <v>141</v>
      </c>
      <c r="B15" s="51" t="s">
        <v>164</v>
      </c>
      <c r="C15" s="72"/>
      <c r="D15" s="51" t="s">
        <v>154</v>
      </c>
      <c r="E15" s="66" t="s">
        <v>142</v>
      </c>
      <c r="F15" s="51" t="s">
        <v>149</v>
      </c>
    </row>
    <row r="16" spans="1:7" x14ac:dyDescent="0.25">
      <c r="A16" s="51" t="s">
        <v>169</v>
      </c>
      <c r="B16" s="68" t="s">
        <v>139</v>
      </c>
      <c r="C16" s="72"/>
      <c r="D16" s="51" t="s">
        <v>176</v>
      </c>
      <c r="E16" s="66" t="s">
        <v>148</v>
      </c>
      <c r="F16" s="51" t="s">
        <v>155</v>
      </c>
    </row>
    <row r="17" spans="1:7" x14ac:dyDescent="0.25">
      <c r="A17" s="51" t="s">
        <v>189</v>
      </c>
      <c r="B17" s="51" t="s">
        <v>165</v>
      </c>
      <c r="C17" s="51"/>
      <c r="E17" s="66" t="s">
        <v>152</v>
      </c>
      <c r="F17" s="51" t="s">
        <v>156</v>
      </c>
    </row>
    <row r="18" spans="1:7" x14ac:dyDescent="0.25">
      <c r="A18" s="51" t="s">
        <v>187</v>
      </c>
      <c r="B18" s="51" t="s">
        <v>143</v>
      </c>
      <c r="C18" s="51"/>
      <c r="D18" s="51"/>
      <c r="E18" s="66" t="s">
        <v>171</v>
      </c>
      <c r="F18" s="51" t="s">
        <v>162</v>
      </c>
    </row>
    <row r="19" spans="1:7" x14ac:dyDescent="0.25">
      <c r="B19" s="68" t="s">
        <v>147</v>
      </c>
      <c r="D19" s="51"/>
      <c r="E19" s="66" t="s">
        <v>168</v>
      </c>
      <c r="F19" s="72"/>
    </row>
    <row r="20" spans="1:7" x14ac:dyDescent="0.25">
      <c r="A20" s="66"/>
      <c r="B20" s="51" t="s">
        <v>61</v>
      </c>
      <c r="D20" s="51"/>
      <c r="E20" s="66" t="s">
        <v>182</v>
      </c>
      <c r="F20" s="72"/>
    </row>
    <row r="21" spans="1:7" x14ac:dyDescent="0.25">
      <c r="A21" s="51"/>
      <c r="B21" s="51" t="s">
        <v>163</v>
      </c>
      <c r="D21" s="51"/>
      <c r="E21" s="66" t="s">
        <v>188</v>
      </c>
      <c r="F21" s="72"/>
    </row>
    <row r="22" spans="1:7" x14ac:dyDescent="0.25">
      <c r="A22" s="51"/>
      <c r="B22" s="51" t="s">
        <v>179</v>
      </c>
      <c r="D22" s="51"/>
      <c r="E22" s="66" t="s">
        <v>161</v>
      </c>
      <c r="F22" s="72"/>
    </row>
    <row r="23" spans="1:7" x14ac:dyDescent="0.25">
      <c r="A23" s="51"/>
      <c r="B23" s="51" t="s">
        <v>132</v>
      </c>
      <c r="D23" s="51"/>
      <c r="E23" s="19" t="s">
        <v>178</v>
      </c>
      <c r="G23" s="50"/>
    </row>
    <row r="24" spans="1:7" x14ac:dyDescent="0.25">
      <c r="A24" s="51"/>
      <c r="B24" s="51" t="s">
        <v>131</v>
      </c>
      <c r="D24" s="51"/>
      <c r="E24" s="19" t="s">
        <v>183</v>
      </c>
      <c r="F24" s="72"/>
      <c r="G24" s="50"/>
    </row>
    <row r="25" spans="1:7" x14ac:dyDescent="0.25">
      <c r="A25" s="51"/>
      <c r="B25" s="51" t="s">
        <v>175</v>
      </c>
      <c r="D25" s="51"/>
      <c r="E25" s="19" t="s">
        <v>157</v>
      </c>
      <c r="F25" s="72"/>
      <c r="G25" s="50"/>
    </row>
    <row r="26" spans="1:7" x14ac:dyDescent="0.25">
      <c r="A26" s="51"/>
      <c r="E26" s="19" t="s">
        <v>170</v>
      </c>
      <c r="F26" s="72"/>
    </row>
    <row r="27" spans="1:7" x14ac:dyDescent="0.25">
      <c r="A27" s="51"/>
      <c r="B27" s="51"/>
      <c r="D27" s="51"/>
      <c r="E27" s="19" t="s">
        <v>184</v>
      </c>
      <c r="F27" s="72"/>
    </row>
    <row r="28" spans="1:7" x14ac:dyDescent="0.25">
      <c r="A28" s="51"/>
      <c r="B28" s="51"/>
      <c r="D28" s="51"/>
      <c r="E28" s="19"/>
      <c r="F28" s="72"/>
    </row>
    <row r="29" spans="1:7" x14ac:dyDescent="0.25">
      <c r="A29" s="51"/>
      <c r="D29" s="51"/>
      <c r="E29" s="19"/>
      <c r="F29" s="72"/>
    </row>
    <row r="30" spans="1:7" x14ac:dyDescent="0.25">
      <c r="A30" s="51"/>
      <c r="B30" s="51"/>
      <c r="D30" s="51"/>
      <c r="E30" s="66"/>
      <c r="F30" s="51"/>
    </row>
    <row r="31" spans="1:7" x14ac:dyDescent="0.25">
      <c r="A31" s="51"/>
      <c r="C31" s="51"/>
      <c r="D31" s="51"/>
      <c r="E31" s="19"/>
      <c r="F31" s="51"/>
    </row>
    <row r="32" spans="1:7" x14ac:dyDescent="0.25">
      <c r="A32" s="57"/>
      <c r="C32" s="57"/>
      <c r="D32" s="57"/>
      <c r="E32" s="66"/>
      <c r="F32" s="57"/>
    </row>
    <row r="33" spans="2:5" x14ac:dyDescent="0.25">
      <c r="E33" s="17"/>
    </row>
    <row r="34" spans="2:5" x14ac:dyDescent="0.25">
      <c r="E34" s="19"/>
    </row>
    <row r="35" spans="2:5" x14ac:dyDescent="0.25">
      <c r="E35" s="19"/>
    </row>
    <row r="36" spans="2:5" x14ac:dyDescent="0.25">
      <c r="E36" s="19"/>
    </row>
    <row r="37" spans="2:5" x14ac:dyDescent="0.25">
      <c r="B37" s="51"/>
      <c r="E37" s="19"/>
    </row>
    <row r="38" spans="2:5" x14ac:dyDescent="0.25">
      <c r="B38" s="51"/>
      <c r="E38" s="19"/>
    </row>
    <row r="39" spans="2:5" x14ac:dyDescent="0.25">
      <c r="E39" s="19"/>
    </row>
    <row r="40" spans="2:5" x14ac:dyDescent="0.25">
      <c r="B40" s="51"/>
      <c r="E40" s="19"/>
    </row>
    <row r="41" spans="2:5" x14ac:dyDescent="0.25">
      <c r="B41" s="72"/>
      <c r="E41" s="19"/>
    </row>
    <row r="42" spans="2:5" x14ac:dyDescent="0.25">
      <c r="B42" s="72"/>
      <c r="E42" s="19"/>
    </row>
    <row r="43" spans="2:5" x14ac:dyDescent="0.25">
      <c r="B43" s="72"/>
      <c r="E43" s="19"/>
    </row>
    <row r="44" spans="2:5" x14ac:dyDescent="0.25">
      <c r="E44" s="19"/>
    </row>
    <row r="45" spans="2:5" x14ac:dyDescent="0.25">
      <c r="E45" s="19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190E8-887F-4519-8430-35F0B97A044C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757F6-4813-482F-A5A4-202773266A8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35</vt:i4>
      </vt:variant>
    </vt:vector>
  </HeadingPairs>
  <TitlesOfParts>
    <vt:vector size="68" baseType="lpstr">
      <vt:lpstr>2026</vt:lpstr>
      <vt:lpstr>MONDAY</vt:lpstr>
      <vt:lpstr>PG 1 (2)</vt:lpstr>
      <vt:lpstr>PG 2 (3)</vt:lpstr>
      <vt:lpstr>PG 3</vt:lpstr>
      <vt:lpstr>TUESDAY</vt:lpstr>
      <vt:lpstr>PG 1</vt:lpstr>
      <vt:lpstr>PG 2 (2)</vt:lpstr>
      <vt:lpstr>PG 3 (2)</vt:lpstr>
      <vt:lpstr>WEDNESDAY</vt:lpstr>
      <vt:lpstr>PG 1 (3)</vt:lpstr>
      <vt:lpstr>PG 2 (4)</vt:lpstr>
      <vt:lpstr>PG 3 (3)</vt:lpstr>
      <vt:lpstr>THURSDAY</vt:lpstr>
      <vt:lpstr>PG 1 (4)</vt:lpstr>
      <vt:lpstr>PG 2 (7)</vt:lpstr>
      <vt:lpstr>PG 3 (7)</vt:lpstr>
      <vt:lpstr>FRIDAY</vt:lpstr>
      <vt:lpstr>PG 1 (5)</vt:lpstr>
      <vt:lpstr>PG 2 (6)</vt:lpstr>
      <vt:lpstr>PG 3 (4)</vt:lpstr>
      <vt:lpstr>SATURDAY</vt:lpstr>
      <vt:lpstr>PG 1 (6)</vt:lpstr>
      <vt:lpstr>PG 2 (5)</vt:lpstr>
      <vt:lpstr>PG 3 (5)</vt:lpstr>
      <vt:lpstr>SUNDAY</vt:lpstr>
      <vt:lpstr>PG 1 (7)</vt:lpstr>
      <vt:lpstr>PG 2</vt:lpstr>
      <vt:lpstr>PG 3 (6)</vt:lpstr>
      <vt:lpstr>ESDS</vt:lpstr>
      <vt:lpstr>Sheet1</vt:lpstr>
      <vt:lpstr>Sheet2</vt:lpstr>
      <vt:lpstr>Chart1</vt:lpstr>
      <vt:lpstr>A_SHIFT_ESDS</vt:lpstr>
      <vt:lpstr>B_SHIFT_ESDS</vt:lpstr>
      <vt:lpstr>C_SHIFT_ESDS</vt:lpstr>
      <vt:lpstr>D_SHIFT_ESDS</vt:lpstr>
      <vt:lpstr>E_SHIFT_ESDS</vt:lpstr>
      <vt:lpstr>'PG 1'!EE_SHIFTS</vt:lpstr>
      <vt:lpstr>'PG 1 (2)'!EE_SHIFTS</vt:lpstr>
      <vt:lpstr>'PG 1 (3)'!EE_SHIFTS</vt:lpstr>
      <vt:lpstr>'PG 1 (4)'!EE_SHIFTS</vt:lpstr>
      <vt:lpstr>'PG 1 (5)'!EE_SHIFTS</vt:lpstr>
      <vt:lpstr>'PG 1 (6)'!EE_SHIFTS</vt:lpstr>
      <vt:lpstr>'PG 1 (7)'!EE_SHIFTS</vt:lpstr>
      <vt:lpstr>'PG 2 (2)'!EE_SHIFTS</vt:lpstr>
      <vt:lpstr>'PG 2 (3)'!EE_SHIFTS</vt:lpstr>
      <vt:lpstr>'PG 2 (4)'!EE_SHIFTS</vt:lpstr>
      <vt:lpstr>'PG 2 (5)'!EE_SHIFTS</vt:lpstr>
      <vt:lpstr>'PG 2 (6)'!EE_SHIFTS</vt:lpstr>
      <vt:lpstr>'PG 2 (7)'!EE_SHIFTS</vt:lpstr>
      <vt:lpstr>'PG 3 (2)'!EE_SHIFTS</vt:lpstr>
      <vt:lpstr>'PG 3 (3)'!EE_SHIFTS</vt:lpstr>
      <vt:lpstr>'PG 3 (4)'!EE_SHIFTS</vt:lpstr>
      <vt:lpstr>'PG 3 (5)'!EE_SHIFTS</vt:lpstr>
      <vt:lpstr>'PG 3 (6)'!EE_SHIFTS</vt:lpstr>
      <vt:lpstr>'PG 3 (7)'!EE_SHIFTS</vt:lpstr>
      <vt:lpstr>EE_SHIFTS</vt:lpstr>
      <vt:lpstr>F_SHIFT_ESDS</vt:lpstr>
      <vt:lpstr>Monday</vt:lpstr>
      <vt:lpstr>'PG 1'!OLE_LINK1</vt:lpstr>
      <vt:lpstr>'PG 1 (2)'!OLE_LINK1</vt:lpstr>
      <vt:lpstr>'PG 1 (3)'!OLE_LINK1</vt:lpstr>
      <vt:lpstr>'PG 1 (4)'!OLE_LINK1</vt:lpstr>
      <vt:lpstr>'PG 1 (5)'!OLE_LINK1</vt:lpstr>
      <vt:lpstr>'PG 1 (6)'!OLE_LINK1</vt:lpstr>
      <vt:lpstr>'PG 1 (7)'!OLE_LINK1</vt:lpstr>
      <vt:lpstr>TRAINEES_ESDS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Mague Toles</dc:creator>
  <cp:lastModifiedBy>Matthew Woofter</cp:lastModifiedBy>
  <cp:lastPrinted>2024-12-27T23:21:30Z</cp:lastPrinted>
  <dcterms:created xsi:type="dcterms:W3CDTF">2018-04-27T16:09:02Z</dcterms:created>
  <dcterms:modified xsi:type="dcterms:W3CDTF">2026-04-22T01:52:51Z</dcterms:modified>
</cp:coreProperties>
</file>